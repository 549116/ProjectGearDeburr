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venk\Documents\GitHub\ProjectGearDeburr\berekeningen\"/>
    </mc:Choice>
  </mc:AlternateContent>
  <xr:revisionPtr revIDLastSave="0" documentId="8_{08EFBE62-C0B9-440A-BF50-7AF1536E0183}" xr6:coauthVersionLast="47" xr6:coauthVersionMax="47" xr10:uidLastSave="{00000000-0000-0000-0000-000000000000}"/>
  <bookViews>
    <workbookView xWindow="-105" yWindow="0" windowWidth="19410" windowHeight="23385" xr2:uid="{8F5469FE-0290-4756-A4A4-563265A5DE8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2" i="1" l="1"/>
  <c r="G13" i="1"/>
  <c r="G11" i="1"/>
  <c r="G10" i="1"/>
  <c r="G9" i="1"/>
  <c r="C19" i="1"/>
  <c r="G8" i="1"/>
  <c r="G7" i="1"/>
  <c r="G6" i="1"/>
  <c r="G5" i="1"/>
  <c r="C16" i="1"/>
  <c r="C13" i="1"/>
  <c r="C6" i="1"/>
  <c r="C10" i="1"/>
  <c r="C8" i="1"/>
</calcChain>
</file>

<file path=xl/sharedStrings.xml><?xml version="1.0" encoding="utf-8"?>
<sst xmlns="http://schemas.openxmlformats.org/spreadsheetml/2006/main" count="51" uniqueCount="41">
  <si>
    <t>berekeningen horizontale kracht schuif</t>
  </si>
  <si>
    <t>input</t>
  </si>
  <si>
    <t>grootheid</t>
  </si>
  <si>
    <t>waarde</t>
  </si>
  <si>
    <t>eenheid</t>
  </si>
  <si>
    <t>r borstel</t>
  </si>
  <si>
    <t>cm</t>
  </si>
  <si>
    <t>hoeksnelheid (``θ)</t>
  </si>
  <si>
    <t>rpm</t>
  </si>
  <si>
    <t>mm</t>
  </si>
  <si>
    <t>berekeningen</t>
  </si>
  <si>
    <t>graden</t>
  </si>
  <si>
    <t>rad/s</t>
  </si>
  <si>
    <t>m</t>
  </si>
  <si>
    <t>rad</t>
  </si>
  <si>
    <t>hoek waarmee borstel tandwiel raakt</t>
  </si>
  <si>
    <t>frictiecoefficient droog staal op staal</t>
  </si>
  <si>
    <t>-</t>
  </si>
  <si>
    <r>
      <t>d</t>
    </r>
    <r>
      <rPr>
        <vertAlign val="subscript"/>
        <sz val="11"/>
        <color theme="1"/>
        <rFont val="Aptos Narrow"/>
        <family val="2"/>
        <scheme val="minor"/>
      </rPr>
      <t>indruk</t>
    </r>
  </si>
  <si>
    <t>veiligheidsfactor</t>
  </si>
  <si>
    <t>diameter borsteldraad</t>
  </si>
  <si>
    <t>dichtheid staal</t>
  </si>
  <si>
    <r>
      <t>kg/m</t>
    </r>
    <r>
      <rPr>
        <vertAlign val="superscript"/>
        <sz val="11"/>
        <color theme="1"/>
        <rFont val="Aptos Narrow"/>
        <family val="2"/>
        <scheme val="minor"/>
      </rPr>
      <t>3</t>
    </r>
  </si>
  <si>
    <t>oppervlakte draad</t>
  </si>
  <si>
    <r>
      <t>m</t>
    </r>
    <r>
      <rPr>
        <vertAlign val="superscript"/>
        <sz val="11"/>
        <color theme="1"/>
        <rFont val="Aptos Narrow"/>
        <family val="2"/>
        <scheme val="minor"/>
      </rPr>
      <t>2</t>
    </r>
  </si>
  <si>
    <t>inhoud draad dat tandwiel raakt</t>
  </si>
  <si>
    <r>
      <t>m</t>
    </r>
    <r>
      <rPr>
        <vertAlign val="superscript"/>
        <sz val="11"/>
        <color theme="1"/>
        <rFont val="Aptos Narrow"/>
        <family val="2"/>
        <scheme val="minor"/>
      </rPr>
      <t>3</t>
    </r>
  </si>
  <si>
    <t>massa draad dat tandwiel raakt</t>
  </si>
  <si>
    <t>kg</t>
  </si>
  <si>
    <t>N</t>
  </si>
  <si>
    <t>centrifugaalkracht enkele draad</t>
  </si>
  <si>
    <t>veerconstante enkel draad</t>
  </si>
  <si>
    <t>e-modul staal</t>
  </si>
  <si>
    <t>Gpa</t>
  </si>
  <si>
    <t>Pa</t>
  </si>
  <si>
    <t>I enkel draad</t>
  </si>
  <si>
    <r>
      <t>m</t>
    </r>
    <r>
      <rPr>
        <vertAlign val="superscript"/>
        <sz val="11"/>
        <color theme="1"/>
        <rFont val="Aptos Narrow"/>
        <family val="2"/>
        <scheme val="minor"/>
      </rPr>
      <t>4</t>
    </r>
  </si>
  <si>
    <t>N/m</t>
  </si>
  <si>
    <t>veerkracht</t>
  </si>
  <si>
    <t>horizontale kracht</t>
  </si>
  <si>
    <t>incl veiligheidsfactor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</si>
</sst>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vertAlign val="subscript"/>
      <sz val="11"/>
      <color theme="1"/>
      <name val="Aptos Narrow"/>
      <family val="2"/>
      <scheme val="minor"/>
    </font>
    <font>
      <vertAlign val="superscript"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E7686-6CA2-4FEB-9C69-4F04825915B8}">
  <dimension ref="B2:H19"/>
  <sheetViews>
    <sheetView tabSelected="1" workbookViewId="0">
      <selection activeCell="K8" sqref="K8"/>
    </sheetView>
  </sheetViews>
  <sheetFormatPr defaultRowHeight="15" x14ac:dyDescent="0.25"/>
  <cols>
    <col min="2" max="2" width="36" bestFit="1" customWidth="1"/>
    <col min="6" max="6" width="26.5703125" bestFit="1" customWidth="1"/>
    <col min="7" max="7" width="12" bestFit="1" customWidth="1"/>
  </cols>
  <sheetData>
    <row r="2" spans="2:8" x14ac:dyDescent="0.25">
      <c r="B2" t="s">
        <v>0</v>
      </c>
    </row>
    <row r="3" spans="2:8" x14ac:dyDescent="0.25">
      <c r="B3" t="s">
        <v>1</v>
      </c>
      <c r="F3" t="s">
        <v>10</v>
      </c>
    </row>
    <row r="4" spans="2:8" x14ac:dyDescent="0.25">
      <c r="B4" t="s">
        <v>2</v>
      </c>
      <c r="C4" t="s">
        <v>3</v>
      </c>
      <c r="D4" t="s">
        <v>4</v>
      </c>
      <c r="F4" s="1" t="s">
        <v>2</v>
      </c>
      <c r="G4" s="1" t="s">
        <v>3</v>
      </c>
      <c r="H4" s="1" t="s">
        <v>4</v>
      </c>
    </row>
    <row r="5" spans="2:8" ht="16.5" x14ac:dyDescent="0.25">
      <c r="B5" t="s">
        <v>5</v>
      </c>
      <c r="C5">
        <v>4</v>
      </c>
      <c r="D5" t="s">
        <v>6</v>
      </c>
      <c r="F5" t="s">
        <v>23</v>
      </c>
      <c r="G5">
        <f>PI()/4*C16^2</f>
        <v>7.0685834705770333E-8</v>
      </c>
      <c r="H5" t="s">
        <v>24</v>
      </c>
    </row>
    <row r="6" spans="2:8" ht="16.5" x14ac:dyDescent="0.25">
      <c r="C6">
        <f>C5/100</f>
        <v>0.04</v>
      </c>
      <c r="D6" t="s">
        <v>13</v>
      </c>
      <c r="F6" t="s">
        <v>25</v>
      </c>
      <c r="G6">
        <f>G5*C13</f>
        <v>3.5342917352885166E-10</v>
      </c>
      <c r="H6" t="s">
        <v>26</v>
      </c>
    </row>
    <row r="7" spans="2:8" x14ac:dyDescent="0.25">
      <c r="B7" t="s">
        <v>7</v>
      </c>
      <c r="C7">
        <v>3000</v>
      </c>
      <c r="D7" t="s">
        <v>8</v>
      </c>
      <c r="F7" t="s">
        <v>27</v>
      </c>
      <c r="G7">
        <f>G6*C17</f>
        <v>2.7744190122014854E-6</v>
      </c>
      <c r="H7" t="s">
        <v>28</v>
      </c>
    </row>
    <row r="8" spans="2:8" x14ac:dyDescent="0.25">
      <c r="C8">
        <f>C7*2*PI()/60</f>
        <v>314.15926535897933</v>
      </c>
      <c r="D8" t="s">
        <v>12</v>
      </c>
      <c r="F8" s="1" t="s">
        <v>30</v>
      </c>
      <c r="G8" s="1">
        <f>G7*C6*C8^2</f>
        <v>1.0952967237315909E-2</v>
      </c>
      <c r="H8" s="1" t="s">
        <v>29</v>
      </c>
    </row>
    <row r="9" spans="2:8" ht="16.5" x14ac:dyDescent="0.25">
      <c r="B9" t="s">
        <v>15</v>
      </c>
      <c r="C9">
        <v>45</v>
      </c>
      <c r="D9" t="s">
        <v>11</v>
      </c>
      <c r="F9" t="s">
        <v>35</v>
      </c>
      <c r="G9">
        <f>PI()*C16^4/64</f>
        <v>3.9760782021995805E-16</v>
      </c>
      <c r="H9" t="s">
        <v>36</v>
      </c>
    </row>
    <row r="10" spans="2:8" x14ac:dyDescent="0.25">
      <c r="C10">
        <f>C9/360*2*PI()</f>
        <v>0.78539816339744828</v>
      </c>
      <c r="D10" t="s">
        <v>14</v>
      </c>
      <c r="F10" t="s">
        <v>31</v>
      </c>
      <c r="G10">
        <f>3*C19*G9/C13^3</f>
        <v>2003.9434139085884</v>
      </c>
      <c r="H10" t="s">
        <v>37</v>
      </c>
    </row>
    <row r="11" spans="2:8" x14ac:dyDescent="0.25">
      <c r="B11" t="s">
        <v>16</v>
      </c>
      <c r="C11">
        <v>0.6</v>
      </c>
      <c r="D11" t="s">
        <v>17</v>
      </c>
      <c r="F11" s="1" t="s">
        <v>38</v>
      </c>
      <c r="G11" s="1">
        <f>G10*C13</f>
        <v>10.019717069542942</v>
      </c>
      <c r="H11" s="1" t="s">
        <v>29</v>
      </c>
    </row>
    <row r="12" spans="2:8" ht="18" x14ac:dyDescent="0.35">
      <c r="B12" t="s">
        <v>18</v>
      </c>
      <c r="C12">
        <v>5</v>
      </c>
      <c r="D12" t="s">
        <v>9</v>
      </c>
      <c r="F12" t="s">
        <v>39</v>
      </c>
      <c r="G12">
        <f>(G11+G8)*C11</f>
        <v>6.0184020220681544</v>
      </c>
      <c r="H12" t="s">
        <v>29</v>
      </c>
    </row>
    <row r="13" spans="2:8" x14ac:dyDescent="0.25">
      <c r="C13">
        <f>C12/1000</f>
        <v>5.0000000000000001E-3</v>
      </c>
      <c r="D13" t="s">
        <v>13</v>
      </c>
      <c r="F13" t="s">
        <v>40</v>
      </c>
      <c r="G13">
        <f>G12*C14</f>
        <v>9.0276030331022312</v>
      </c>
      <c r="H13" t="s">
        <v>29</v>
      </c>
    </row>
    <row r="14" spans="2:8" x14ac:dyDescent="0.25">
      <c r="B14" t="s">
        <v>19</v>
      </c>
      <c r="C14">
        <v>1.5</v>
      </c>
      <c r="D14" t="s">
        <v>17</v>
      </c>
    </row>
    <row r="15" spans="2:8" x14ac:dyDescent="0.25">
      <c r="B15" t="s">
        <v>20</v>
      </c>
      <c r="C15">
        <v>0.3</v>
      </c>
      <c r="D15" t="s">
        <v>9</v>
      </c>
    </row>
    <row r="16" spans="2:8" x14ac:dyDescent="0.25">
      <c r="C16">
        <f>C15/1000</f>
        <v>2.9999999999999997E-4</v>
      </c>
      <c r="D16" t="s">
        <v>13</v>
      </c>
    </row>
    <row r="17" spans="2:4" ht="16.5" x14ac:dyDescent="0.25">
      <c r="B17" t="s">
        <v>21</v>
      </c>
      <c r="C17">
        <v>7850</v>
      </c>
      <c r="D17" t="s">
        <v>22</v>
      </c>
    </row>
    <row r="18" spans="2:4" x14ac:dyDescent="0.25">
      <c r="B18" t="s">
        <v>32</v>
      </c>
      <c r="C18">
        <v>210</v>
      </c>
      <c r="D18" t="s">
        <v>33</v>
      </c>
    </row>
    <row r="19" spans="2:4" x14ac:dyDescent="0.25">
      <c r="C19">
        <f>C18*10^9</f>
        <v>210000000000</v>
      </c>
      <c r="D19" t="s">
        <v>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Sven Kerkhof</dc:creator>
  <cp:lastModifiedBy>Sven Kerkhof</cp:lastModifiedBy>
  <dcterms:created xsi:type="dcterms:W3CDTF">2025-11-14T09:11:33Z</dcterms:created>
  <dcterms:modified xsi:type="dcterms:W3CDTF">2025-11-14T10:10:39Z</dcterms:modified>
</cp:coreProperties>
</file>