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up5.0/Shared Documents/group 5/berekeningen/"/>
    </mc:Choice>
  </mc:AlternateContent>
  <xr:revisionPtr revIDLastSave="0" documentId="8_{30D58BDC-7964-425D-BF40-600E2198FFA5}" xr6:coauthVersionLast="47" xr6:coauthVersionMax="47" xr10:uidLastSave="{00000000-0000-0000-0000-000000000000}"/>
  <bookViews>
    <workbookView xWindow="2715" yWindow="4410" windowWidth="28800" windowHeight="17145" xr2:uid="{8F5469FE-0290-4756-A4A4-563265A5DE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 s="1"/>
  <c r="G12" i="1" s="1"/>
  <c r="G13" i="1" s="1"/>
  <c r="G14" i="1" s="1"/>
  <c r="C21" i="1"/>
  <c r="G9" i="1"/>
  <c r="C19" i="1"/>
  <c r="G8" i="1"/>
  <c r="G7" i="1"/>
  <c r="G6" i="1"/>
  <c r="G5" i="1"/>
  <c r="C16" i="1"/>
  <c r="C13" i="1"/>
  <c r="C6" i="1"/>
  <c r="C10" i="1"/>
  <c r="C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<sst xmlns="http://schemas.openxmlformats.org/spreadsheetml/2006/main" count="58" uniqueCount="44">
  <si>
    <t>berekeningen horizontale kracht schuif</t>
  </si>
  <si>
    <t>input</t>
  </si>
  <si>
    <t>berekeningen</t>
  </si>
  <si>
    <t>grootheid</t>
  </si>
  <si>
    <t>waarde</t>
  </si>
  <si>
    <t>eenheid</t>
  </si>
  <si>
    <t>r borstel</t>
  </si>
  <si>
    <t>cm</t>
  </si>
  <si>
    <t>oppervlakte draad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</si>
  <si>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</si>
  <si>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m</t>
  </si>
  <si>
    <t>inhoud draad dat tandwiel raakt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</si>
  <si>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</si>
  <si>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hoeksnelheid (``θ)</t>
  </si>
  <si>
    <t>rpm</t>
  </si>
  <si>
    <t>massa draad dat tandwiel raakt</t>
  </si>
  <si>
    <t>kg</t>
  </si>
  <si>
    <t>rad/s</t>
  </si>
  <si>
    <t>centrifugaalkracht enkele draad</t>
  </si>
  <si>
    <t>N</t>
  </si>
  <si>
    <t>hoek waarmee borstel tandwiel raakt</t>
  </si>
  <si>
    <t>graden</t>
  </si>
  <si>
    <t>I enkel draad</t>
  </si>
  <si>
    <r>
      <t>m</t>
    </r>
    <r>
      <rPr>
        <vertAlign val="superscript"/>
        <sz val="11"/>
        <color theme="1"/>
        <rFont val="Aptos Narrow"/>
        <family val="2"/>
        <scheme val="minor"/>
      </rPr>
      <t>4</t>
    </r>
  </si>
  <si>
    <t>rad</t>
  </si>
  <si>
    <t>veerconstante enkel draad</t>
  </si>
  <si>
    <t>N/m</t>
  </si>
  <si>
    <t>frictiecoefficient droog staal op staal</t>
  </si>
  <si>
    <t>-</t>
  </si>
  <si>
    <t>veerkracht</t>
  </si>
  <si>
    <r>
      <t>d</t>
    </r>
    <r>
      <rPr>
        <vertAlign val="subscript"/>
        <sz val="11"/>
        <color theme="1"/>
        <rFont val="Aptos Narrow"/>
        <family val="2"/>
        <scheme val="minor"/>
      </rPr>
      <t>indruk</t>
    </r>
  </si>
  <si>
    <t>mm</t>
  </si>
  <si>
    <t>horizontale kracht enkel draad</t>
  </si>
  <si>
    <t xml:space="preserve">horizontale kracht </t>
  </si>
  <si>
    <t>veiligheidsfactor</t>
  </si>
  <si>
    <t>incl veiligheidsfactor</t>
  </si>
  <si>
    <t>diameter borsteldraad</t>
  </si>
  <si>
    <t>dichtheid staal</t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</si>
  <si>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</si>
  <si>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e-modul staal</t>
  </si>
  <si>
    <t>Gpa</t>
  </si>
  <si>
    <t>Pa</t>
  </si>
  <si>
    <t>veerbaar draadlengte</t>
  </si>
  <si>
    <t>aantal draden tegelijkertijd in aanraking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</si>
</sst>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7686-6CA2-4FEB-9C69-4F04825915B8}">
  <dimension ref="B2:H42"/>
  <sheetViews>
    <sheetView tabSelected="1" zoomScaleNormal="100" workbookViewId="0">
      <selection activeCell="M30" sqref="M30"/>
    </sheetView>
  </sheetViews>
  <sheetFormatPr defaultRowHeight="15"/>
  <cols>
    <col min="2" max="2" width="36" bestFit="1" customWidth="1"/>
    <col min="6" max="6" width="26.5703125" bestFit="1" customWidth="1"/>
    <col min="7" max="7" width="12" bestFit="1" customWidth="1"/>
  </cols>
  <sheetData>
    <row r="2" spans="2:8">
      <c r="B2" t="s">
        <v>0</v>
      </c>
    </row>
    <row r="3" spans="2:8">
      <c r="B3" t="s">
        <v>1</v>
      </c>
      <c r="F3" t="s">
        <v>2</v>
      </c>
    </row>
    <row r="4" spans="2:8">
      <c r="B4" t="s">
        <v>3</v>
      </c>
      <c r="C4" t="s">
        <v>4</v>
      </c>
      <c r="D4" t="s">
        <v>5</v>
      </c>
      <c r="F4" s="1" t="s">
        <v>3</v>
      </c>
      <c r="G4" s="1" t="s">
        <v>4</v>
      </c>
      <c r="H4" s="1" t="s">
        <v>5</v>
      </c>
    </row>
    <row r="5" spans="2:8" ht="16.5">
      <c r="B5" t="s">
        <v>6</v>
      </c>
      <c r="C5">
        <v>4</v>
      </c>
      <c r="D5" t="s">
        <v>7</v>
      </c>
      <c r="F5" t="s">
        <v>8</v>
      </c>
      <c r="G5">
        <f>PI()/4*C16^2</f>
        <v>7.0685834705770333E-8</v>
      </c>
      <c r="H5" t="s">
        <v>9</v>
      </c>
    </row>
    <row r="6" spans="2:8" ht="16.5">
      <c r="C6">
        <f>C5/100</f>
        <v>0.04</v>
      </c>
      <c r="D6" t="s">
        <v>10</v>
      </c>
      <c r="F6" t="s">
        <v>11</v>
      </c>
      <c r="G6">
        <f>G5*C13</f>
        <v>3.5342917352885166E-10</v>
      </c>
      <c r="H6" t="s">
        <v>12</v>
      </c>
    </row>
    <row r="7" spans="2:8">
      <c r="B7" t="s">
        <v>13</v>
      </c>
      <c r="C7">
        <v>3000</v>
      </c>
      <c r="D7" t="s">
        <v>14</v>
      </c>
      <c r="F7" t="s">
        <v>15</v>
      </c>
      <c r="G7">
        <f>G6*C17</f>
        <v>2.7744190122014854E-6</v>
      </c>
      <c r="H7" t="s">
        <v>16</v>
      </c>
    </row>
    <row r="8" spans="2:8">
      <c r="C8">
        <f>C7*2*PI()/60</f>
        <v>314.15926535897933</v>
      </c>
      <c r="D8" t="s">
        <v>17</v>
      </c>
      <c r="F8" s="1" t="s">
        <v>18</v>
      </c>
      <c r="G8" s="1">
        <f>G7*C6*C8^2</f>
        <v>1.0952967237315909E-2</v>
      </c>
      <c r="H8" s="1" t="s">
        <v>19</v>
      </c>
    </row>
    <row r="9" spans="2:8" ht="16.5">
      <c r="B9" t="s">
        <v>20</v>
      </c>
      <c r="C9">
        <v>45</v>
      </c>
      <c r="D9" t="s">
        <v>21</v>
      </c>
      <c r="F9" t="s">
        <v>22</v>
      </c>
      <c r="G9">
        <f>PI()*C16^4/64</f>
        <v>3.9760782021995805E-16</v>
      </c>
      <c r="H9" t="s">
        <v>23</v>
      </c>
    </row>
    <row r="10" spans="2:8">
      <c r="C10">
        <f>C9/360*2*PI()</f>
        <v>0.78539816339744828</v>
      </c>
      <c r="D10" t="s">
        <v>24</v>
      </c>
      <c r="F10" t="s">
        <v>25</v>
      </c>
      <c r="G10">
        <f>3*C19*G9/C21^3</f>
        <v>144.96118445519303</v>
      </c>
      <c r="H10" t="s">
        <v>26</v>
      </c>
    </row>
    <row r="11" spans="2:8">
      <c r="B11" t="s">
        <v>27</v>
      </c>
      <c r="C11">
        <v>0.6</v>
      </c>
      <c r="D11" t="s">
        <v>28</v>
      </c>
      <c r="F11" s="1" t="s">
        <v>29</v>
      </c>
      <c r="G11" s="1">
        <f>G10*C13</f>
        <v>0.72480592227596519</v>
      </c>
      <c r="H11" s="1" t="s">
        <v>19</v>
      </c>
    </row>
    <row r="12" spans="2:8" ht="18">
      <c r="B12" t="s">
        <v>30</v>
      </c>
      <c r="C12">
        <v>5</v>
      </c>
      <c r="D12" t="s">
        <v>31</v>
      </c>
      <c r="F12" t="s">
        <v>32</v>
      </c>
      <c r="G12">
        <f>(G11+G8)*C11</f>
        <v>0.44145533370796863</v>
      </c>
      <c r="H12" t="s">
        <v>19</v>
      </c>
    </row>
    <row r="13" spans="2:8">
      <c r="C13">
        <f>C12/1000</f>
        <v>5.0000000000000001E-3</v>
      </c>
      <c r="D13" t="s">
        <v>10</v>
      </c>
      <c r="F13" t="s">
        <v>33</v>
      </c>
      <c r="G13">
        <f>G12*C22</f>
        <v>13.24366001123906</v>
      </c>
      <c r="H13" t="s">
        <v>19</v>
      </c>
    </row>
    <row r="14" spans="2:8">
      <c r="B14" t="s">
        <v>34</v>
      </c>
      <c r="C14">
        <v>1.5</v>
      </c>
      <c r="D14" t="s">
        <v>28</v>
      </c>
      <c r="F14" t="s">
        <v>35</v>
      </c>
      <c r="G14">
        <f>G13*C14</f>
        <v>19.86549001685859</v>
      </c>
      <c r="H14" t="s">
        <v>19</v>
      </c>
    </row>
    <row r="15" spans="2:8">
      <c r="B15" t="s">
        <v>36</v>
      </c>
      <c r="C15">
        <v>0.3</v>
      </c>
      <c r="D15" t="s">
        <v>31</v>
      </c>
    </row>
    <row r="16" spans="2:8">
      <c r="C16">
        <f>C15/1000</f>
        <v>2.9999999999999997E-4</v>
      </c>
      <c r="D16" t="s">
        <v>10</v>
      </c>
    </row>
    <row r="17" spans="2:5" ht="16.5">
      <c r="B17" t="s">
        <v>37</v>
      </c>
      <c r="C17">
        <v>7850</v>
      </c>
      <c r="D17" t="s">
        <v>38</v>
      </c>
    </row>
    <row r="18" spans="2:5">
      <c r="B18" t="s">
        <v>39</v>
      </c>
      <c r="C18">
        <v>210</v>
      </c>
      <c r="D18" t="s">
        <v>40</v>
      </c>
    </row>
    <row r="19" spans="2:5">
      <c r="C19">
        <f>C18*10^9</f>
        <v>210000000000</v>
      </c>
      <c r="D19" t="s">
        <v>41</v>
      </c>
    </row>
    <row r="20" spans="2:5">
      <c r="B20" t="s">
        <v>42</v>
      </c>
      <c r="C20">
        <v>12</v>
      </c>
      <c r="D20" t="s">
        <v>31</v>
      </c>
    </row>
    <row r="21" spans="2:5">
      <c r="C21">
        <f>C20/1000</f>
        <v>1.2E-2</v>
      </c>
      <c r="D21" t="s">
        <v>10</v>
      </c>
    </row>
    <row r="22" spans="2:5">
      <c r="B22" t="s">
        <v>43</v>
      </c>
      <c r="C22">
        <v>30</v>
      </c>
      <c r="D22" t="s">
        <v>28</v>
      </c>
    </row>
    <row r="26" spans="2:5">
      <c r="B26" s="2" t="e" vm="1">
        <v>#VALUE!</v>
      </c>
      <c r="C26" s="2"/>
      <c r="D26" s="2"/>
      <c r="E26" s="2"/>
    </row>
    <row r="27" spans="2:5">
      <c r="B27" s="2"/>
      <c r="C27" s="2"/>
      <c r="D27" s="2"/>
      <c r="E27" s="2"/>
    </row>
    <row r="28" spans="2:5">
      <c r="B28" s="2"/>
      <c r="C28" s="2"/>
      <c r="D28" s="2"/>
      <c r="E28" s="2"/>
    </row>
    <row r="29" spans="2:5">
      <c r="B29" s="2"/>
      <c r="C29" s="2"/>
      <c r="D29" s="2"/>
      <c r="E29" s="2"/>
    </row>
    <row r="30" spans="2:5">
      <c r="B30" s="2"/>
      <c r="C30" s="2"/>
      <c r="D30" s="2"/>
      <c r="E30" s="2"/>
    </row>
    <row r="31" spans="2:5">
      <c r="B31" s="2"/>
      <c r="C31" s="2"/>
      <c r="D31" s="2"/>
      <c r="E31" s="2"/>
    </row>
    <row r="32" spans="2:5">
      <c r="B32" s="2"/>
      <c r="C32" s="2"/>
      <c r="D32" s="2"/>
      <c r="E32" s="2"/>
    </row>
    <row r="33" spans="2:5">
      <c r="B33" s="2"/>
      <c r="C33" s="2"/>
      <c r="D33" s="2"/>
      <c r="E33" s="2"/>
    </row>
    <row r="34" spans="2:5">
      <c r="B34" s="2"/>
      <c r="C34" s="2"/>
      <c r="D34" s="2"/>
      <c r="E34" s="2"/>
    </row>
    <row r="35" spans="2:5">
      <c r="B35" s="2"/>
      <c r="C35" s="2"/>
      <c r="D35" s="2"/>
      <c r="E35" s="2"/>
    </row>
    <row r="36" spans="2:5">
      <c r="B36" s="2"/>
      <c r="C36" s="2"/>
      <c r="D36" s="2"/>
      <c r="E36" s="2"/>
    </row>
    <row r="37" spans="2:5">
      <c r="B37" s="2"/>
      <c r="C37" s="2"/>
      <c r="D37" s="2"/>
      <c r="E37" s="2"/>
    </row>
    <row r="38" spans="2:5">
      <c r="B38" s="2"/>
      <c r="C38" s="2"/>
      <c r="D38" s="2"/>
      <c r="E38" s="2"/>
    </row>
    <row r="39" spans="2:5">
      <c r="B39" s="2"/>
      <c r="C39" s="2"/>
      <c r="D39" s="2"/>
      <c r="E39" s="2"/>
    </row>
    <row r="40" spans="2:5">
      <c r="B40" s="2"/>
      <c r="C40" s="2"/>
      <c r="D40" s="2"/>
      <c r="E40" s="2"/>
    </row>
    <row r="41" spans="2:5">
      <c r="B41" s="2"/>
      <c r="C41" s="2"/>
      <c r="D41" s="2"/>
      <c r="E41" s="2"/>
    </row>
    <row r="42" spans="2:5">
      <c r="B42" s="2"/>
      <c r="C42" s="2"/>
      <c r="D42" s="2"/>
      <c r="E42" s="2"/>
    </row>
  </sheetData>
  <mergeCells count="1">
    <mergeCell ref="B26:E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6f0660c00307a9fc6b8f016be658328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7a6827155b2c9d8b55185a8ae1cad52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0E39F-72A7-42FD-9117-AD51C12A2948}"/>
</file>

<file path=customXml/itemProps2.xml><?xml version="1.0" encoding="utf-8"?>
<ds:datastoreItem xmlns:ds="http://schemas.openxmlformats.org/officeDocument/2006/customXml" ds:itemID="{F9E4B6D4-7716-4445-8FE2-937867248063}"/>
</file>

<file path=customXml/itemProps3.xml><?xml version="1.0" encoding="utf-8"?>
<ds:datastoreItem xmlns:ds="http://schemas.openxmlformats.org/officeDocument/2006/customXml" ds:itemID="{118FEB18-AF58-47EB-AFAD-5C52EC39A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Kerkhof</dc:creator>
  <cp:keywords/>
  <dc:description/>
  <cp:lastModifiedBy>Gijs Winkelhorst</cp:lastModifiedBy>
  <cp:revision/>
  <dcterms:created xsi:type="dcterms:W3CDTF">2025-11-14T09:11:33Z</dcterms:created>
  <dcterms:modified xsi:type="dcterms:W3CDTF">2026-01-14T09:58:07Z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  <property fmtid="{D5CDD505-2E9C-101B-9397-08002B2CF9AE}" pid="3" name="MediaServiceImageTags">
    <vt:lpwstr/>
  </property>
</Properties>
</file>