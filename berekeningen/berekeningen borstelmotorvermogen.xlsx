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xion.sharepoint.com/teams/O365-Course-Team-113290-group5.0/Shared Documents/group 5/berekeningen/"/>
    </mc:Choice>
  </mc:AlternateContent>
  <xr:revisionPtr revIDLastSave="51" documentId="8_{27045640-5866-49D0-8682-24E008A183E3}" xr6:coauthVersionLast="47" xr6:coauthVersionMax="47" xr10:uidLastSave="{5C82C4F3-B447-4F64-88F3-A5866A9F3CFE}"/>
  <bookViews>
    <workbookView xWindow="-105" yWindow="0" windowWidth="19410" windowHeight="23385" xr2:uid="{FD37FC2E-9908-4ACD-BFFE-7F2A911E95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7" i="1" s="1"/>
  <c r="G8" i="1" s="1"/>
  <c r="G4" i="1"/>
</calcChain>
</file>

<file path=xl/sharedStrings.xml><?xml version="1.0" encoding="utf-8"?>
<sst xmlns="http://schemas.openxmlformats.org/spreadsheetml/2006/main" count="29" uniqueCount="22">
  <si>
    <t>inputs:</t>
  </si>
  <si>
    <t>toerental</t>
  </si>
  <si>
    <t>grootheid</t>
  </si>
  <si>
    <t>waarde</t>
  </si>
  <si>
    <t>eenheid</t>
  </si>
  <si>
    <t>rpm</t>
  </si>
  <si>
    <t>berekeningen</t>
  </si>
  <si>
    <t>rad/s</t>
  </si>
  <si>
    <t>veiligheidsfactor</t>
  </si>
  <si>
    <t>-</t>
  </si>
  <si>
    <t>kilo</t>
  </si>
  <si>
    <t>Fz</t>
  </si>
  <si>
    <t>N</t>
  </si>
  <si>
    <t>radius borstel</t>
  </si>
  <si>
    <t>cm</t>
  </si>
  <si>
    <t>m</t>
  </si>
  <si>
    <t>koppel op borstel</t>
  </si>
  <si>
    <t>Nm</t>
  </si>
  <si>
    <t>vermogen borstel</t>
  </si>
  <si>
    <t>weerstand in lagering</t>
  </si>
  <si>
    <t>verwaarloosbaar</t>
  </si>
  <si>
    <t>Watt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</si>
</sst>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09ED-5E6C-4437-ADB2-7E2E436960C3}">
  <dimension ref="B2:H8"/>
  <sheetViews>
    <sheetView tabSelected="1" workbookViewId="0">
      <selection activeCell="F14" sqref="F14"/>
    </sheetView>
  </sheetViews>
  <sheetFormatPr defaultRowHeight="15" x14ac:dyDescent="0.25"/>
  <cols>
    <col min="2" max="2" width="20.140625" bestFit="1" customWidth="1"/>
    <col min="3" max="3" width="16.140625" bestFit="1" customWidth="1"/>
    <col min="6" max="6" width="16.42578125" bestFit="1" customWidth="1"/>
  </cols>
  <sheetData>
    <row r="2" spans="2:8" x14ac:dyDescent="0.25">
      <c r="B2" t="s">
        <v>0</v>
      </c>
      <c r="F2" t="s">
        <v>6</v>
      </c>
    </row>
    <row r="3" spans="2:8" x14ac:dyDescent="0.25">
      <c r="B3" t="s">
        <v>2</v>
      </c>
      <c r="C3" t="s">
        <v>3</v>
      </c>
      <c r="D3" t="s">
        <v>4</v>
      </c>
      <c r="F3" t="s">
        <v>2</v>
      </c>
      <c r="G3" t="s">
        <v>3</v>
      </c>
      <c r="H3" t="s">
        <v>4</v>
      </c>
    </row>
    <row r="4" spans="2:8" x14ac:dyDescent="0.25">
      <c r="B4" t="s">
        <v>1</v>
      </c>
      <c r="C4">
        <v>3000</v>
      </c>
      <c r="D4" t="s">
        <v>5</v>
      </c>
      <c r="F4" t="s">
        <v>1</v>
      </c>
      <c r="G4">
        <f>C4*2*PI()/60</f>
        <v>314.15926535897933</v>
      </c>
      <c r="H4" t="s">
        <v>7</v>
      </c>
    </row>
    <row r="5" spans="2:8" x14ac:dyDescent="0.25">
      <c r="B5" t="s">
        <v>8</v>
      </c>
      <c r="C5">
        <v>1.5</v>
      </c>
      <c r="D5" t="s">
        <v>9</v>
      </c>
      <c r="F5" t="s">
        <v>11</v>
      </c>
      <c r="G5">
        <f>C6*9.81</f>
        <v>29.43</v>
      </c>
      <c r="H5" t="s">
        <v>12</v>
      </c>
    </row>
    <row r="6" spans="2:8" x14ac:dyDescent="0.25">
      <c r="B6" t="s">
        <v>11</v>
      </c>
      <c r="C6">
        <v>3</v>
      </c>
      <c r="D6" t="s">
        <v>10</v>
      </c>
      <c r="F6" t="s">
        <v>13</v>
      </c>
      <c r="G6">
        <f>C7/100</f>
        <v>0.04</v>
      </c>
      <c r="H6" t="s">
        <v>15</v>
      </c>
    </row>
    <row r="7" spans="2:8" x14ac:dyDescent="0.25">
      <c r="B7" t="s">
        <v>13</v>
      </c>
      <c r="C7">
        <v>4</v>
      </c>
      <c r="D7" t="s">
        <v>14</v>
      </c>
      <c r="F7" t="s">
        <v>16</v>
      </c>
      <c r="G7">
        <f>G5*G6</f>
        <v>1.1772</v>
      </c>
      <c r="H7" t="s">
        <v>17</v>
      </c>
    </row>
    <row r="8" spans="2:8" x14ac:dyDescent="0.25">
      <c r="B8" t="s">
        <v>19</v>
      </c>
      <c r="C8" t="s">
        <v>20</v>
      </c>
      <c r="D8" t="s">
        <v>17</v>
      </c>
      <c r="F8" t="s">
        <v>18</v>
      </c>
      <c r="G8">
        <f>G7*G4</f>
        <v>369.82828718059045</v>
      </c>
      <c r="H8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CE4358CF9434AACD5F17CD166EEBE" ma:contentTypeVersion="9" ma:contentTypeDescription="Create a new document." ma:contentTypeScope="" ma:versionID="73a9dcd17d910bedbbfcf71dea21917b">
  <xsd:schema xmlns:xsd="http://www.w3.org/2001/XMLSchema" xmlns:xs="http://www.w3.org/2001/XMLSchema" xmlns:p="http://schemas.microsoft.com/office/2006/metadata/properties" xmlns:ns2="71fe66e1-c1d4-4b45-94dc-995258161867" targetNamespace="http://schemas.microsoft.com/office/2006/metadata/properties" ma:root="true" ma:fieldsID="4a2fda66a0a1023ae4e3cd4e4288c789" ns2:_="">
    <xsd:import namespace="71fe66e1-c1d4-4b45-94dc-9952581618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e66e1-c1d4-4b45-94dc-995258161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23b583-fc58-4aef-a739-6987dbfb33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fe66e1-c1d4-4b45-94dc-99525816186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6C57BE-6D11-4D2E-ABB4-D9149EDC80CA}"/>
</file>

<file path=customXml/itemProps2.xml><?xml version="1.0" encoding="utf-8"?>
<ds:datastoreItem xmlns:ds="http://schemas.openxmlformats.org/officeDocument/2006/customXml" ds:itemID="{31666C90-45DF-4C87-AA4D-D7E136D44BBC}"/>
</file>

<file path=customXml/itemProps3.xml><?xml version="1.0" encoding="utf-8"?>
<ds:datastoreItem xmlns:ds="http://schemas.openxmlformats.org/officeDocument/2006/customXml" ds:itemID="{73564561-12B4-404A-8A26-D1E02562C7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Kerkhof</dc:creator>
  <cp:lastModifiedBy>Sven Kerkhof</cp:lastModifiedBy>
  <dcterms:created xsi:type="dcterms:W3CDTF">2025-11-14T08:45:56Z</dcterms:created>
  <dcterms:modified xsi:type="dcterms:W3CDTF">2025-11-14T08:55:49Z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0x010100E64CE4358CF9434AACD5F17CD166EEBE</vt:lpwstr>
  </property>
</Properties>
</file>