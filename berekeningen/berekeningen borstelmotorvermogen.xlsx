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venk\Documents\GitHub\ProjectGearDeburr\berekeningen\"/>
    </mc:Choice>
  </mc:AlternateContent>
  <xr:revisionPtr revIDLastSave="0" documentId="13_ncr:1_{40EF85C2-065A-4126-A37B-B8FBEA423C57}" xr6:coauthVersionLast="47" xr6:coauthVersionMax="47" xr10:uidLastSave="{00000000-0000-0000-0000-000000000000}"/>
  <bookViews>
    <workbookView xWindow="-105" yWindow="0" windowWidth="19410" windowHeight="23385" xr2:uid="{FD37FC2E-9908-4ACD-BFFE-7F2A911E95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5" i="1"/>
  <c r="G7" i="1" s="1"/>
  <c r="G8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<sst xmlns="http://schemas.openxmlformats.org/spreadsheetml/2006/main" count="29" uniqueCount="22">
  <si>
    <t>inputs:</t>
  </si>
  <si>
    <t>toerental</t>
  </si>
  <si>
    <t>grootheid</t>
  </si>
  <si>
    <t>waarde</t>
  </si>
  <si>
    <t>eenheid</t>
  </si>
  <si>
    <t>rpm</t>
  </si>
  <si>
    <t>berekeningen</t>
  </si>
  <si>
    <t>rad/s</t>
  </si>
  <si>
    <t>veiligheidsfactor</t>
  </si>
  <si>
    <t>-</t>
  </si>
  <si>
    <t>kilo</t>
  </si>
  <si>
    <t>Fz</t>
  </si>
  <si>
    <t>N</t>
  </si>
  <si>
    <t>cm</t>
  </si>
  <si>
    <t>m</t>
  </si>
  <si>
    <t>koppel op borstel</t>
  </si>
  <si>
    <t>Nm</t>
  </si>
  <si>
    <t>vermogen borstel</t>
  </si>
  <si>
    <t>weerstand in lagering</t>
  </si>
  <si>
    <t>verwaarloosbaar</t>
  </si>
  <si>
    <t>Watt</t>
  </si>
  <si>
    <t>r borstel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</si>
</sst>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009ED-5E6C-4437-ADB2-7E2E436960C3}">
  <dimension ref="B2:H22"/>
  <sheetViews>
    <sheetView tabSelected="1" workbookViewId="0">
      <selection activeCell="H19" sqref="H19"/>
    </sheetView>
  </sheetViews>
  <sheetFormatPr defaultRowHeight="15" x14ac:dyDescent="0.25"/>
  <cols>
    <col min="2" max="2" width="20.140625" bestFit="1" customWidth="1"/>
    <col min="3" max="3" width="16.140625" bestFit="1" customWidth="1"/>
    <col min="6" max="6" width="16.42578125" bestFit="1" customWidth="1"/>
  </cols>
  <sheetData>
    <row r="2" spans="2:8" x14ac:dyDescent="0.25">
      <c r="B2" t="s">
        <v>0</v>
      </c>
      <c r="F2" t="s">
        <v>6</v>
      </c>
    </row>
    <row r="3" spans="2:8" x14ac:dyDescent="0.25">
      <c r="B3" t="s">
        <v>2</v>
      </c>
      <c r="C3" t="s">
        <v>3</v>
      </c>
      <c r="D3" t="s">
        <v>4</v>
      </c>
      <c r="F3" t="s">
        <v>2</v>
      </c>
      <c r="G3" t="s">
        <v>3</v>
      </c>
      <c r="H3" t="s">
        <v>4</v>
      </c>
    </row>
    <row r="4" spans="2:8" x14ac:dyDescent="0.25">
      <c r="B4" t="s">
        <v>1</v>
      </c>
      <c r="C4">
        <v>3000</v>
      </c>
      <c r="D4" t="s">
        <v>5</v>
      </c>
      <c r="F4" t="s">
        <v>1</v>
      </c>
      <c r="G4">
        <f>C4*2*PI()/60</f>
        <v>314.15926535897933</v>
      </c>
      <c r="H4" t="s">
        <v>7</v>
      </c>
    </row>
    <row r="5" spans="2:8" x14ac:dyDescent="0.25">
      <c r="B5" t="s">
        <v>8</v>
      </c>
      <c r="C5">
        <v>1.5</v>
      </c>
      <c r="D5" t="s">
        <v>9</v>
      </c>
      <c r="F5" t="s">
        <v>11</v>
      </c>
      <c r="G5">
        <f>C6*9.81</f>
        <v>29.43</v>
      </c>
      <c r="H5" t="s">
        <v>12</v>
      </c>
    </row>
    <row r="6" spans="2:8" x14ac:dyDescent="0.25">
      <c r="B6" t="s">
        <v>11</v>
      </c>
      <c r="C6">
        <v>3</v>
      </c>
      <c r="D6" t="s">
        <v>10</v>
      </c>
      <c r="F6" t="s">
        <v>21</v>
      </c>
      <c r="G6">
        <f>C7/100</f>
        <v>0.04</v>
      </c>
      <c r="H6" t="s">
        <v>14</v>
      </c>
    </row>
    <row r="7" spans="2:8" x14ac:dyDescent="0.25">
      <c r="B7" t="s">
        <v>21</v>
      </c>
      <c r="C7">
        <v>4</v>
      </c>
      <c r="D7" t="s">
        <v>13</v>
      </c>
      <c r="F7" t="s">
        <v>15</v>
      </c>
      <c r="G7">
        <f>G5*G6</f>
        <v>1.1772</v>
      </c>
      <c r="H7" t="s">
        <v>16</v>
      </c>
    </row>
    <row r="8" spans="2:8" x14ac:dyDescent="0.25">
      <c r="B8" t="s">
        <v>18</v>
      </c>
      <c r="C8" t="s">
        <v>19</v>
      </c>
      <c r="D8" t="s">
        <v>16</v>
      </c>
      <c r="F8" t="s">
        <v>17</v>
      </c>
      <c r="G8">
        <f>G7*G4</f>
        <v>369.82828718059045</v>
      </c>
      <c r="H8" t="s">
        <v>20</v>
      </c>
    </row>
    <row r="11" spans="2:8" x14ac:dyDescent="0.25">
      <c r="B11" s="1" t="e" vm="1">
        <v>#VALUE!</v>
      </c>
      <c r="C11" s="1"/>
    </row>
    <row r="12" spans="2:8" x14ac:dyDescent="0.25">
      <c r="B12" s="1"/>
      <c r="C12" s="1"/>
    </row>
    <row r="13" spans="2:8" x14ac:dyDescent="0.25">
      <c r="B13" s="1"/>
      <c r="C13" s="1"/>
    </row>
    <row r="14" spans="2:8" x14ac:dyDescent="0.25">
      <c r="B14" s="1"/>
      <c r="C14" s="1"/>
    </row>
    <row r="15" spans="2:8" x14ac:dyDescent="0.25">
      <c r="B15" s="1"/>
      <c r="C15" s="1"/>
    </row>
    <row r="16" spans="2:8" x14ac:dyDescent="0.25">
      <c r="B16" s="1"/>
      <c r="C16" s="1"/>
    </row>
    <row r="17" spans="2:3" x14ac:dyDescent="0.25">
      <c r="B17" s="1"/>
      <c r="C17" s="1"/>
    </row>
    <row r="18" spans="2:3" x14ac:dyDescent="0.25">
      <c r="B18" s="1"/>
      <c r="C18" s="1"/>
    </row>
    <row r="19" spans="2:3" x14ac:dyDescent="0.25">
      <c r="B19" s="1"/>
      <c r="C19" s="1"/>
    </row>
    <row r="20" spans="2:3" x14ac:dyDescent="0.25">
      <c r="B20" s="1"/>
      <c r="C20" s="1"/>
    </row>
    <row r="21" spans="2:3" x14ac:dyDescent="0.25">
      <c r="B21" s="1"/>
      <c r="C21" s="1"/>
    </row>
    <row r="22" spans="2:3" x14ac:dyDescent="0.25">
      <c r="B22" s="1"/>
      <c r="C22" s="1"/>
    </row>
  </sheetData>
  <mergeCells count="1">
    <mergeCell ref="B11:C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2025-11-14T08:45:56Z</dcterms:created>
  <dcterms:modified xsi:type="dcterms:W3CDTF">2025-11-14T09:04:08Z</dcterms:modified>
</cp:coreProperties>
</file>