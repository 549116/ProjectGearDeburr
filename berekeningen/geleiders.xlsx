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C:\Users\svenk\Documents\GitHub\ProjectGearDeburr\berekeningen\"/>
    </mc:Choice>
  </mc:AlternateContent>
  <xr:revisionPtr revIDLastSave="0" documentId="13_ncr:1_{D67278B0-A3B0-4958-B631-F55EBD6F9CCB}" xr6:coauthVersionLast="47" xr6:coauthVersionMax="47" xr10:uidLastSave="{00000000-0000-0000-0000-000000000000}"/>
  <bookViews>
    <workbookView xWindow="2940" yWindow="4245" windowWidth="34890" windowHeight="15345" xr2:uid="{CBB8AF3F-DA56-4131-A4B9-DAA22F42650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1" l="1"/>
  <c r="H7" i="1"/>
  <c r="H5" i="1"/>
  <c r="H4" i="1"/>
  <c r="C9" i="1"/>
  <c r="C5" i="1"/>
  <c r="C7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<sst xmlns="http://schemas.openxmlformats.org/spreadsheetml/2006/main" count="33" uniqueCount="23">
  <si>
    <t>inputs</t>
  </si>
  <si>
    <t>berekeningen</t>
  </si>
  <si>
    <t>grootheid</t>
  </si>
  <si>
    <t>waarde</t>
  </si>
  <si>
    <t>eenheid</t>
  </si>
  <si>
    <t>opmerking</t>
  </si>
  <si>
    <r>
      <t>L</t>
    </r>
    <r>
      <rPr>
        <vertAlign val="subscript"/>
        <sz val="11"/>
        <color theme="1"/>
        <rFont val="Aptos Narrow"/>
        <family val="2"/>
        <scheme val="minor"/>
      </rPr>
      <t>1</t>
    </r>
  </si>
  <si>
    <t>mm</t>
  </si>
  <si>
    <r>
      <t>F</t>
    </r>
    <r>
      <rPr>
        <vertAlign val="subscript"/>
        <sz val="11"/>
        <color theme="1"/>
        <rFont val="Aptos Narrow"/>
        <family val="2"/>
        <scheme val="minor"/>
      </rPr>
      <t>3</t>
    </r>
  </si>
  <si>
    <t>N</t>
  </si>
  <si>
    <t>drukkracht</t>
  </si>
  <si>
    <t>m</t>
  </si>
  <si>
    <r>
      <t>F</t>
    </r>
    <r>
      <rPr>
        <vertAlign val="subscript"/>
        <sz val="11"/>
        <color theme="1"/>
        <rFont val="Aptos Narrow"/>
        <family val="2"/>
        <scheme val="minor"/>
      </rPr>
      <t>2</t>
    </r>
  </si>
  <si>
    <t>trekkracht</t>
  </si>
  <si>
    <r>
      <t>L</t>
    </r>
    <r>
      <rPr>
        <vertAlign val="subscript"/>
        <sz val="11"/>
        <color theme="1"/>
        <rFont val="Aptos Narrow"/>
        <family val="2"/>
        <scheme val="minor"/>
      </rPr>
      <t>2</t>
    </r>
  </si>
  <si>
    <t>punt 2 sterk genoeg</t>
  </si>
  <si>
    <t>punt 3 sterk genoeg</t>
  </si>
  <si>
    <r>
      <t>F</t>
    </r>
    <r>
      <rPr>
        <vertAlign val="subscript"/>
        <sz val="11"/>
        <color theme="1"/>
        <rFont val="Aptos Narrow"/>
        <family val="2"/>
        <scheme val="minor"/>
      </rPr>
      <t>1</t>
    </r>
  </si>
  <si>
    <t>kg</t>
  </si>
  <si>
    <t>C0</t>
  </si>
  <si>
    <t>trekkracht geleider</t>
  </si>
  <si>
    <t>c1</t>
  </si>
  <si>
    <t>drukkracht geleider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</si>
</sst>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2" fillId="3" borderId="0" xfId="1" applyFill="1"/>
    <xf numFmtId="0" fontId="0" fillId="0" borderId="0" xfId="0" applyAlignment="1">
      <alignment horizontal="center"/>
    </xf>
  </cellXfs>
  <cellStyles count="2">
    <cellStyle name="Hyperlink" xfId="1" builtinId="8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9C61E-BD1C-425B-8904-DE560C5912B2}">
  <dimension ref="B2:J26"/>
  <sheetViews>
    <sheetView tabSelected="1" workbookViewId="0">
      <selection activeCell="N6" sqref="N6"/>
    </sheetView>
  </sheetViews>
  <sheetFormatPr defaultRowHeight="15"/>
  <cols>
    <col min="2" max="2" width="9.42578125" bestFit="1" customWidth="1"/>
    <col min="3" max="3" width="7.5703125" bestFit="1" customWidth="1"/>
    <col min="4" max="4" width="8" bestFit="1" customWidth="1"/>
    <col min="5" max="5" width="18.28515625" bestFit="1" customWidth="1"/>
    <col min="6" max="6" width="12.85546875" bestFit="1" customWidth="1"/>
    <col min="7" max="7" width="18.140625" bestFit="1" customWidth="1"/>
    <col min="8" max="8" width="8.140625" bestFit="1" customWidth="1"/>
    <col min="9" max="9" width="8" bestFit="1" customWidth="1"/>
    <col min="10" max="10" width="10.5703125" bestFit="1" customWidth="1"/>
  </cols>
  <sheetData>
    <row r="2" spans="2:10">
      <c r="B2" t="s">
        <v>0</v>
      </c>
      <c r="G2" t="s">
        <v>1</v>
      </c>
    </row>
    <row r="3" spans="2:10">
      <c r="B3" s="1" t="s">
        <v>2</v>
      </c>
      <c r="C3" s="1" t="s">
        <v>3</v>
      </c>
      <c r="D3" s="1" t="s">
        <v>4</v>
      </c>
      <c r="E3" s="1" t="s">
        <v>5</v>
      </c>
      <c r="G3" s="1" t="s">
        <v>2</v>
      </c>
      <c r="H3" s="1" t="s">
        <v>3</v>
      </c>
      <c r="I3" s="1" t="s">
        <v>4</v>
      </c>
      <c r="J3" s="1" t="s">
        <v>5</v>
      </c>
    </row>
    <row r="4" spans="2:10" ht="18">
      <c r="B4" s="2" t="s">
        <v>6</v>
      </c>
      <c r="C4" s="2">
        <v>200</v>
      </c>
      <c r="D4" s="2" t="s">
        <v>7</v>
      </c>
      <c r="E4" s="2"/>
      <c r="G4" s="2" t="s">
        <v>8</v>
      </c>
      <c r="H4" s="2">
        <f>C9*C5/C7</f>
        <v>39.24</v>
      </c>
      <c r="I4" s="2" t="s">
        <v>9</v>
      </c>
      <c r="J4" s="2" t="s">
        <v>10</v>
      </c>
    </row>
    <row r="5" spans="2:10" ht="18">
      <c r="B5" s="2"/>
      <c r="C5" s="2">
        <f>C4/1000</f>
        <v>0.2</v>
      </c>
      <c r="D5" s="2" t="s">
        <v>11</v>
      </c>
      <c r="E5" s="2"/>
      <c r="G5" s="2" t="s">
        <v>12</v>
      </c>
      <c r="H5" s="2">
        <f>C9+H4</f>
        <v>68.67</v>
      </c>
      <c r="I5" s="2" t="s">
        <v>9</v>
      </c>
      <c r="J5" s="2" t="s">
        <v>13</v>
      </c>
    </row>
    <row r="6" spans="2:10" ht="18">
      <c r="B6" s="2" t="s">
        <v>14</v>
      </c>
      <c r="C6" s="2">
        <v>150</v>
      </c>
      <c r="D6" s="2" t="s">
        <v>7</v>
      </c>
      <c r="E6" s="2"/>
      <c r="G6" s="2" t="s">
        <v>15</v>
      </c>
      <c r="H6" s="2" t="str">
        <f>IF(C11&gt;H4, "ja", "nee")</f>
        <v>ja</v>
      </c>
      <c r="I6" s="2"/>
      <c r="J6" s="2"/>
    </row>
    <row r="7" spans="2:10">
      <c r="B7" s="2"/>
      <c r="C7" s="2">
        <f>C6/1000</f>
        <v>0.15</v>
      </c>
      <c r="D7" s="2" t="s">
        <v>11</v>
      </c>
      <c r="E7" s="3"/>
      <c r="G7" s="2" t="s">
        <v>16</v>
      </c>
      <c r="H7" s="2" t="str">
        <f>IF(C10&gt;H5, "ja", "nee")</f>
        <v>ja</v>
      </c>
      <c r="I7" s="2"/>
      <c r="J7" s="2"/>
    </row>
    <row r="8" spans="2:10" ht="18">
      <c r="B8" s="2" t="s">
        <v>17</v>
      </c>
      <c r="C8" s="2">
        <v>3</v>
      </c>
      <c r="D8" s="2" t="s">
        <v>18</v>
      </c>
      <c r="E8" s="2"/>
    </row>
    <row r="9" spans="2:10">
      <c r="B9" s="2"/>
      <c r="C9" s="2">
        <f>C8*9.81</f>
        <v>29.43</v>
      </c>
      <c r="D9" s="2" t="s">
        <v>9</v>
      </c>
      <c r="E9" s="2"/>
    </row>
    <row r="10" spans="2:10">
      <c r="B10" s="2" t="s">
        <v>19</v>
      </c>
      <c r="C10" s="2">
        <v>8330</v>
      </c>
      <c r="D10" s="2" t="s">
        <v>9</v>
      </c>
      <c r="E10" s="2" t="s">
        <v>20</v>
      </c>
    </row>
    <row r="11" spans="2:10">
      <c r="B11" s="2" t="s">
        <v>21</v>
      </c>
      <c r="C11" s="2">
        <v>13500</v>
      </c>
      <c r="D11" s="2" t="s">
        <v>9</v>
      </c>
      <c r="E11" s="2" t="s">
        <v>22</v>
      </c>
    </row>
    <row r="12" spans="2:10">
      <c r="B12" s="4" t="e" vm="1">
        <v>#VALUE!</v>
      </c>
      <c r="C12" s="4"/>
      <c r="D12" s="4"/>
      <c r="E12" s="4"/>
      <c r="F12" s="4"/>
      <c r="G12" s="4"/>
      <c r="H12" s="4"/>
      <c r="I12" s="4"/>
    </row>
    <row r="13" spans="2:10">
      <c r="B13" s="4"/>
      <c r="C13" s="4"/>
      <c r="D13" s="4"/>
      <c r="E13" s="4"/>
      <c r="F13" s="4"/>
      <c r="G13" s="4"/>
      <c r="H13" s="4"/>
      <c r="I13" s="4"/>
    </row>
    <row r="14" spans="2:10">
      <c r="B14" s="4"/>
      <c r="C14" s="4"/>
      <c r="D14" s="4"/>
      <c r="E14" s="4"/>
      <c r="F14" s="4"/>
      <c r="G14" s="4"/>
      <c r="H14" s="4"/>
      <c r="I14" s="4"/>
    </row>
    <row r="15" spans="2:10">
      <c r="B15" s="4"/>
      <c r="C15" s="4"/>
      <c r="D15" s="4"/>
      <c r="E15" s="4"/>
      <c r="F15" s="4"/>
      <c r="G15" s="4"/>
      <c r="H15" s="4"/>
      <c r="I15" s="4"/>
    </row>
    <row r="16" spans="2:10">
      <c r="B16" s="4"/>
      <c r="C16" s="4"/>
      <c r="D16" s="4"/>
      <c r="E16" s="4"/>
      <c r="F16" s="4"/>
      <c r="G16" s="4"/>
      <c r="H16" s="4"/>
      <c r="I16" s="4"/>
    </row>
    <row r="17" spans="2:9">
      <c r="B17" s="4"/>
      <c r="C17" s="4"/>
      <c r="D17" s="4"/>
      <c r="E17" s="4"/>
      <c r="F17" s="4"/>
      <c r="G17" s="4"/>
      <c r="H17" s="4"/>
      <c r="I17" s="4"/>
    </row>
    <row r="18" spans="2:9">
      <c r="B18" s="4"/>
      <c r="C18" s="4"/>
      <c r="D18" s="4"/>
      <c r="E18" s="4"/>
      <c r="F18" s="4"/>
      <c r="G18" s="4"/>
      <c r="H18" s="4"/>
      <c r="I18" s="4"/>
    </row>
    <row r="19" spans="2:9">
      <c r="B19" s="4"/>
      <c r="C19" s="4"/>
      <c r="D19" s="4"/>
      <c r="E19" s="4"/>
      <c r="F19" s="4"/>
      <c r="G19" s="4"/>
      <c r="H19" s="4"/>
      <c r="I19" s="4"/>
    </row>
    <row r="20" spans="2:9">
      <c r="B20" s="4"/>
      <c r="C20" s="4"/>
      <c r="D20" s="4"/>
      <c r="E20" s="4"/>
      <c r="F20" s="4"/>
      <c r="G20" s="4"/>
      <c r="H20" s="4"/>
      <c r="I20" s="4"/>
    </row>
    <row r="21" spans="2:9">
      <c r="B21" s="4"/>
      <c r="C21" s="4"/>
      <c r="D21" s="4"/>
      <c r="E21" s="4"/>
      <c r="F21" s="4"/>
      <c r="G21" s="4"/>
      <c r="H21" s="4"/>
      <c r="I21" s="4"/>
    </row>
    <row r="22" spans="2:9">
      <c r="B22" s="4"/>
      <c r="C22" s="4"/>
      <c r="D22" s="4"/>
      <c r="E22" s="4"/>
      <c r="F22" s="4"/>
      <c r="G22" s="4"/>
      <c r="H22" s="4"/>
      <c r="I22" s="4"/>
    </row>
    <row r="23" spans="2:9">
      <c r="B23" s="4"/>
      <c r="C23" s="4"/>
      <c r="D23" s="4"/>
      <c r="E23" s="4"/>
      <c r="F23" s="4"/>
      <c r="G23" s="4"/>
      <c r="H23" s="4"/>
      <c r="I23" s="4"/>
    </row>
    <row r="24" spans="2:9">
      <c r="B24" s="4"/>
      <c r="C24" s="4"/>
      <c r="D24" s="4"/>
      <c r="E24" s="4"/>
      <c r="F24" s="4"/>
      <c r="G24" s="4"/>
      <c r="H24" s="4"/>
      <c r="I24" s="4"/>
    </row>
    <row r="25" spans="2:9">
      <c r="B25" s="4"/>
      <c r="C25" s="4"/>
      <c r="D25" s="4"/>
      <c r="E25" s="4"/>
      <c r="F25" s="4"/>
      <c r="G25" s="4"/>
      <c r="H25" s="4"/>
      <c r="I25" s="4"/>
    </row>
    <row r="26" spans="2:9">
      <c r="B26" s="4"/>
      <c r="C26" s="4"/>
      <c r="D26" s="4"/>
      <c r="E26" s="4"/>
      <c r="F26" s="4"/>
      <c r="G26" s="4"/>
      <c r="H26" s="4"/>
      <c r="I26" s="4"/>
    </row>
  </sheetData>
  <mergeCells count="1">
    <mergeCell ref="B12:I2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1fe66e1-c1d4-4b45-94dc-99525816186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4CE4358CF9434AACD5F17CD166EEBE" ma:contentTypeVersion="9" ma:contentTypeDescription="Create a new document." ma:contentTypeScope="" ma:versionID="76f0660c00307a9fc6b8f016be658328">
  <xsd:schema xmlns:xsd="http://www.w3.org/2001/XMLSchema" xmlns:xs="http://www.w3.org/2001/XMLSchema" xmlns:p="http://schemas.microsoft.com/office/2006/metadata/properties" xmlns:ns2="71fe66e1-c1d4-4b45-94dc-995258161867" targetNamespace="http://schemas.microsoft.com/office/2006/metadata/properties" ma:root="true" ma:fieldsID="47a6827155b2c9d8b55185a8ae1cad52" ns2:_="">
    <xsd:import namespace="71fe66e1-c1d4-4b45-94dc-9952581618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fe66e1-c1d4-4b45-94dc-9952581618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a23b583-fc58-4aef-a739-6987dbfb335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D7E2228-A1ED-4B44-B6AB-9EE73E2FA829}"/>
</file>

<file path=customXml/itemProps2.xml><?xml version="1.0" encoding="utf-8"?>
<ds:datastoreItem xmlns:ds="http://schemas.openxmlformats.org/officeDocument/2006/customXml" ds:itemID="{03867666-86B6-4E5D-8681-EFC20EBE91E2}"/>
</file>

<file path=customXml/itemProps3.xml><?xml version="1.0" encoding="utf-8"?>
<ds:datastoreItem xmlns:ds="http://schemas.openxmlformats.org/officeDocument/2006/customXml" ds:itemID="{3A0ECC37-BFD3-4DE5-B892-85BDD9FD5C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Sven Kerkhof</dc:creator>
  <cp:keywords/>
  <dc:description/>
  <cp:lastModifiedBy>Gijs Winkelhorst</cp:lastModifiedBy>
  <cp:revision/>
  <dcterms:created xsi:type="dcterms:W3CDTF">2025-11-18T10:17:14Z</dcterms:created>
  <dcterms:modified xsi:type="dcterms:W3CDTF">2026-01-14T09:57:56Z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0x010100E64CE4358CF9434AACD5F17CD166EEBE</vt:lpwstr>
  </property>
  <property fmtid="{D5CDD505-2E9C-101B-9397-08002B2CF9AE}" pid="3" name="MediaServiceImageTags">
    <vt:lpwstr/>
  </property>
</Properties>
</file>