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saxion.sharepoint.com/teams/O365-Course-Team-113290-group5.0/Shared Documents/group 5/Documentatie/"/>
    </mc:Choice>
  </mc:AlternateContent>
  <xr:revisionPtr revIDLastSave="199" documentId="11_3BFF2650FC8E3B860060E21A428F2E20FC1F293E" xr6:coauthVersionLast="47" xr6:coauthVersionMax="47" xr10:uidLastSave="{B88AFCE4-65B2-4E87-9025-AFBAC355E020}"/>
  <bookViews>
    <workbookView xWindow="-120" yWindow="-120" windowWidth="38640" windowHeight="2352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4" i="1"/>
  <c r="G33" i="1"/>
  <c r="F36" i="1"/>
  <c r="F35" i="1"/>
  <c r="F34" i="1"/>
  <c r="H9" i="1"/>
  <c r="F33" i="1"/>
  <c r="G32" i="1"/>
  <c r="F32" i="1"/>
  <c r="L22" i="1"/>
  <c r="J22" i="1"/>
  <c r="L21" i="1"/>
  <c r="L14" i="1"/>
  <c r="L15" i="1"/>
  <c r="L16" i="1"/>
  <c r="L17" i="1"/>
  <c r="L18" i="1"/>
  <c r="L19" i="1"/>
  <c r="L20" i="1"/>
  <c r="L13" i="1"/>
  <c r="J21" i="1"/>
  <c r="J14" i="1"/>
  <c r="J15" i="1"/>
  <c r="J16" i="1"/>
  <c r="J17" i="1"/>
  <c r="J18" i="1"/>
  <c r="J19" i="1"/>
  <c r="J20" i="1"/>
  <c r="J13" i="1"/>
  <c r="H14" i="1"/>
  <c r="H15" i="1"/>
  <c r="H16" i="1"/>
  <c r="H17" i="1"/>
  <c r="H18" i="1"/>
  <c r="H19" i="1"/>
  <c r="H20" i="1"/>
  <c r="H13" i="1"/>
  <c r="F14" i="1"/>
  <c r="F15" i="1"/>
  <c r="F16" i="1"/>
  <c r="F17" i="1"/>
  <c r="F18" i="1"/>
  <c r="F19" i="1"/>
  <c r="F20" i="1"/>
  <c r="F13" i="1"/>
  <c r="D14" i="1"/>
  <c r="D15" i="1"/>
  <c r="D16" i="1"/>
  <c r="D17" i="1"/>
  <c r="D18" i="1"/>
  <c r="D19" i="1"/>
  <c r="D20" i="1"/>
  <c r="D13" i="1"/>
  <c r="L9" i="1"/>
  <c r="L8" i="1"/>
  <c r="L4" i="1"/>
  <c r="L5" i="1"/>
  <c r="L6" i="1"/>
  <c r="L7" i="1"/>
  <c r="L3" i="1"/>
  <c r="J4" i="1"/>
  <c r="J5" i="1"/>
  <c r="J6" i="1"/>
  <c r="J7" i="1"/>
  <c r="J3" i="1"/>
  <c r="H4" i="1"/>
  <c r="H5" i="1"/>
  <c r="H6" i="1"/>
  <c r="H7" i="1"/>
  <c r="H3" i="1"/>
  <c r="H8" i="1" s="1"/>
  <c r="F4" i="1"/>
  <c r="F5" i="1"/>
  <c r="F6" i="1"/>
  <c r="F7" i="1"/>
  <c r="F3" i="1"/>
  <c r="D3" i="1"/>
  <c r="D4" i="1"/>
  <c r="D5" i="1"/>
  <c r="D6" i="1"/>
  <c r="D7" i="1"/>
  <c r="H21" i="1" l="1"/>
  <c r="H22" i="1" s="1"/>
  <c r="F21" i="1"/>
  <c r="F22" i="1" s="1"/>
  <c r="D21" i="1"/>
  <c r="D22" i="1" s="1"/>
  <c r="J8" i="1"/>
  <c r="J9" i="1" s="1"/>
  <c r="F8" i="1"/>
  <c r="F9" i="1" s="1"/>
  <c r="D8" i="1"/>
  <c r="D9" i="1" s="1"/>
</calcChain>
</file>

<file path=xl/sharedStrings.xml><?xml version="1.0" encoding="utf-8"?>
<sst xmlns="http://schemas.openxmlformats.org/spreadsheetml/2006/main" count="65" uniqueCount="40">
  <si>
    <t>eindconcept</t>
  </si>
  <si>
    <t>fabricage-eisen</t>
  </si>
  <si>
    <t>weegfactor</t>
  </si>
  <si>
    <t>punten</t>
  </si>
  <si>
    <t>P*F</t>
  </si>
  <si>
    <t>materiaal</t>
  </si>
  <si>
    <t>compacte constructie</t>
  </si>
  <si>
    <t>kosten inschatting</t>
  </si>
  <si>
    <t>montage</t>
  </si>
  <si>
    <t>eenvoudigheid</t>
  </si>
  <si>
    <t>totaal</t>
  </si>
  <si>
    <t>totaal (%)</t>
  </si>
  <si>
    <t>gebruikers-eisen</t>
  </si>
  <si>
    <t>veiligheid</t>
  </si>
  <si>
    <t>onderhoud</t>
  </si>
  <si>
    <t>betrouwbaarheid</t>
  </si>
  <si>
    <t>cyclustijd</t>
  </si>
  <si>
    <t>stabiliteit</t>
  </si>
  <si>
    <t>totale gewicht</t>
  </si>
  <si>
    <t>totale oppervlakte</t>
  </si>
  <si>
    <t>totaal(%)</t>
  </si>
  <si>
    <t>concept edm</t>
  </si>
  <si>
    <t>concept staalborstel v1</t>
  </si>
  <si>
    <t>concept frees</t>
  </si>
  <si>
    <t>concept staalborstel en schuurpapier</t>
  </si>
  <si>
    <t>concep edm</t>
  </si>
  <si>
    <t>slecht</t>
  </si>
  <si>
    <t>matig</t>
  </si>
  <si>
    <t>goed</t>
  </si>
  <si>
    <t>zeer goed</t>
  </si>
  <si>
    <t>uitmuntend</t>
  </si>
  <si>
    <t>Kolom1</t>
  </si>
  <si>
    <t>afwerking</t>
  </si>
  <si>
    <t>edm</t>
  </si>
  <si>
    <t>staal v1</t>
  </si>
  <si>
    <t>frees</t>
  </si>
  <si>
    <t>eind</t>
  </si>
  <si>
    <t>maakeisen</t>
  </si>
  <si>
    <t>gebruikerseisen</t>
  </si>
  <si>
    <t>schuurpapier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</si>
</sst>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4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CAED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9" fontId="1" fillId="0" borderId="0" xfId="0" applyNumberFormat="1" applyFont="1"/>
    <xf numFmtId="0" fontId="1" fillId="5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782994934997672E-2"/>
          <c:y val="3.5598714572972139E-2"/>
          <c:w val="0.58058246271613911"/>
          <c:h val="0.88958486598498232"/>
        </c:manualLayout>
      </c:layout>
      <c:scatterChart>
        <c:scatterStyle val="lineMarker"/>
        <c:varyColors val="0"/>
        <c:ser>
          <c:idx val="0"/>
          <c:order val="0"/>
          <c:tx>
            <c:v>edm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Blad1!$F$33</c:f>
              <c:numCache>
                <c:formatCode>0%</c:formatCode>
                <c:ptCount val="1"/>
                <c:pt idx="0">
                  <c:v>0.72307692307692306</c:v>
                </c:pt>
              </c:numCache>
            </c:numRef>
          </c:xVal>
          <c:yVal>
            <c:numRef>
              <c:f>Blad1!$G$32</c:f>
              <c:numCache>
                <c:formatCode>0%</c:formatCode>
                <c:ptCount val="1"/>
                <c:pt idx="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29-4C95-A574-BBB465E207F0}"/>
            </c:ext>
          </c:extLst>
        </c:ser>
        <c:ser>
          <c:idx val="1"/>
          <c:order val="1"/>
          <c:tx>
            <c:v>staal v1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Blad1!$F$33</c:f>
              <c:numCache>
                <c:formatCode>0%</c:formatCode>
                <c:ptCount val="1"/>
                <c:pt idx="0">
                  <c:v>0.72307692307692306</c:v>
                </c:pt>
              </c:numCache>
            </c:numRef>
          </c:xVal>
          <c:yVal>
            <c:numRef>
              <c:f>Blad1!$G$33</c:f>
              <c:numCache>
                <c:formatCode>0%</c:formatCode>
                <c:ptCount val="1"/>
                <c:pt idx="0">
                  <c:v>0.63636363636363635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29-4C95-A574-BBB465E207F0}"/>
            </c:ext>
          </c:extLst>
        </c:ser>
        <c:ser>
          <c:idx val="2"/>
          <c:order val="2"/>
          <c:tx>
            <c:v>frees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Blad1!$F$34</c:f>
              <c:numCache>
                <c:formatCode>0%</c:formatCode>
                <c:ptCount val="1"/>
                <c:pt idx="0">
                  <c:v>0.66153846153846152</c:v>
                </c:pt>
              </c:numCache>
            </c:numRef>
          </c:xVal>
          <c:yVal>
            <c:numRef>
              <c:f>Blad1!$G$34</c:f>
              <c:numCache>
                <c:formatCode>0%</c:formatCode>
                <c:ptCount val="1"/>
                <c:pt idx="0">
                  <c:v>0.47272727272727272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29-4C95-A574-BBB465E207F0}"/>
            </c:ext>
          </c:extLst>
        </c:ser>
        <c:ser>
          <c:idx val="3"/>
          <c:order val="3"/>
          <c:tx>
            <c:strRef>
              <c:f>Blad1!$E$35</c:f>
              <c:strCache>
                <c:ptCount val="1"/>
                <c:pt idx="0">
                  <c:v>schuurpapier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Blad1!$F$35</c:f>
              <c:numCache>
                <c:formatCode>0%</c:formatCode>
                <c:ptCount val="1"/>
                <c:pt idx="0">
                  <c:v>0.66153846153846152</c:v>
                </c:pt>
              </c:numCache>
            </c:numRef>
          </c:xVal>
          <c:yVal>
            <c:numRef>
              <c:f>Blad1!$G$35</c:f>
              <c:numCache>
                <c:formatCode>0%</c:formatCode>
                <c:ptCount val="1"/>
                <c:pt idx="0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29-4C95-A574-BBB465E207F0}"/>
            </c:ext>
          </c:extLst>
        </c:ser>
        <c:ser>
          <c:idx val="4"/>
          <c:order val="4"/>
          <c:tx>
            <c:strRef>
              <c:f>Blad1!$E$36</c:f>
              <c:strCache>
                <c:ptCount val="1"/>
                <c:pt idx="0">
                  <c:v>eind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Blad1!$F$36</c:f>
              <c:numCache>
                <c:formatCode>0%</c:formatCode>
                <c:ptCount val="1"/>
                <c:pt idx="0">
                  <c:v>0.7384615384615385</c:v>
                </c:pt>
              </c:numCache>
            </c:numRef>
          </c:xVal>
          <c:yVal>
            <c:numRef>
              <c:f>Blad1!$G$36</c:f>
              <c:numCache>
                <c:formatCode>0%</c:formatCode>
                <c:ptCount val="1"/>
                <c:pt idx="0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F29-4C95-A574-BBB465E20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006351"/>
        <c:axId val="292021695"/>
      </c:scatterChart>
      <c:valAx>
        <c:axId val="18760063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92021695"/>
        <c:crosses val="autoZero"/>
        <c:crossBetween val="midCat"/>
      </c:valAx>
      <c:valAx>
        <c:axId val="2920216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7600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16846505297946"/>
          <c:y val="0.13045998788573449"/>
          <c:w val="0.30001672013220571"/>
          <c:h val="0.67759108059808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0</xdr:rowOff>
    </xdr:from>
    <xdr:to>
      <xdr:col>9</xdr:col>
      <xdr:colOff>219076</xdr:colOff>
      <xdr:row>43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E844E6-EA90-B06C-E16D-B708F06A9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409575</xdr:colOff>
      <xdr:row>23</xdr:row>
      <xdr:rowOff>123825</xdr:rowOff>
    </xdr:from>
    <xdr:to>
      <xdr:col>8</xdr:col>
      <xdr:colOff>561975</xdr:colOff>
      <xdr:row>42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B6847CA-C325-8DBE-F60D-F6404240FBC2}"/>
            </a:ext>
          </a:extLst>
        </xdr:cNvPr>
        <xdr:cNvCxnSpPr/>
      </xdr:nvCxnSpPr>
      <xdr:spPr>
        <a:xfrm flipV="1">
          <a:off x="3543300" y="4505325"/>
          <a:ext cx="2990850" cy="3505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8E78E-436C-4BBC-8AD3-CB513530A5EA}" name="Tabel1" displayName="Tabel1" ref="A24:B29" totalsRowShown="0">
  <autoFilter ref="A24:B29" xr:uid="{83C8E78E-436C-4BBC-8AD3-CB513530A5EA}"/>
  <tableColumns count="2">
    <tableColumn id="1" xr3:uid="{E4328B2A-4E0D-4DE5-AD6B-E7A2F7FD2C99}" name="punten"/>
    <tableColumn id="2" xr3:uid="{ABDFB7A5-D009-4B4B-82C8-330E2812E4C1}" name="Kolom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B1" workbookViewId="0">
      <selection activeCell="M39" sqref="M39"/>
    </sheetView>
  </sheetViews>
  <sheetFormatPr defaultRowHeight="15" x14ac:dyDescent="0.25"/>
  <cols>
    <col min="1" max="1" width="18.7109375" bestFit="1" customWidth="1"/>
    <col min="2" max="2" width="10" bestFit="1" customWidth="1"/>
    <col min="5" max="5" width="19.7109375" bestFit="1" customWidth="1"/>
    <col min="6" max="6" width="4.5703125" bestFit="1" customWidth="1"/>
    <col min="9" max="9" width="31.28515625" bestFit="1" customWidth="1"/>
  </cols>
  <sheetData>
    <row r="1" spans="1:19" x14ac:dyDescent="0.25">
      <c r="A1" s="2"/>
      <c r="B1" s="2"/>
      <c r="C1" s="2" t="s">
        <v>21</v>
      </c>
      <c r="D1" s="2"/>
      <c r="E1" s="2" t="s">
        <v>22</v>
      </c>
      <c r="F1" s="2"/>
      <c r="G1" s="2" t="s">
        <v>23</v>
      </c>
      <c r="H1" s="2"/>
      <c r="I1" s="2" t="s">
        <v>24</v>
      </c>
      <c r="J1" s="2"/>
      <c r="K1" s="2" t="s">
        <v>0</v>
      </c>
      <c r="L1" s="2"/>
    </row>
    <row r="2" spans="1:19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3</v>
      </c>
      <c r="F2" s="3" t="s">
        <v>4</v>
      </c>
      <c r="G2" s="3" t="s">
        <v>3</v>
      </c>
      <c r="H2" s="3" t="s">
        <v>4</v>
      </c>
      <c r="I2" s="3" t="s">
        <v>3</v>
      </c>
      <c r="J2" s="3" t="s">
        <v>4</v>
      </c>
      <c r="K2" s="3" t="s">
        <v>3</v>
      </c>
      <c r="L2" s="3" t="s">
        <v>4</v>
      </c>
      <c r="O2" s="3"/>
      <c r="P2" s="3"/>
      <c r="Q2" s="3"/>
      <c r="R2" s="3"/>
      <c r="S2" s="3"/>
    </row>
    <row r="3" spans="1:19" x14ac:dyDescent="0.25">
      <c r="A3" s="3" t="s">
        <v>5</v>
      </c>
      <c r="B3" s="3">
        <v>1</v>
      </c>
      <c r="C3" s="3">
        <v>3</v>
      </c>
      <c r="D3" s="3">
        <f>B3*C3</f>
        <v>3</v>
      </c>
      <c r="E3" s="3">
        <v>4</v>
      </c>
      <c r="F3" s="3">
        <f>E3*B3</f>
        <v>4</v>
      </c>
      <c r="G3" s="3">
        <v>3</v>
      </c>
      <c r="H3" s="3">
        <f>G3*B3</f>
        <v>3</v>
      </c>
      <c r="I3" s="3">
        <v>3</v>
      </c>
      <c r="J3" s="3">
        <f>I3*B3</f>
        <v>3</v>
      </c>
      <c r="K3" s="3">
        <v>4</v>
      </c>
      <c r="L3" s="3">
        <f>K3*B3</f>
        <v>4</v>
      </c>
      <c r="O3" s="7"/>
      <c r="P3" s="7"/>
      <c r="Q3" s="7"/>
      <c r="R3" s="7"/>
      <c r="S3" s="7"/>
    </row>
    <row r="4" spans="1:19" x14ac:dyDescent="0.25">
      <c r="A4" s="3" t="s">
        <v>6</v>
      </c>
      <c r="B4" s="3">
        <v>2</v>
      </c>
      <c r="C4" s="3">
        <v>4</v>
      </c>
      <c r="D4" s="3">
        <f t="shared" ref="D4:D7" si="0">B4*C4</f>
        <v>8</v>
      </c>
      <c r="E4" s="3">
        <v>3</v>
      </c>
      <c r="F4" s="3">
        <f t="shared" ref="F4:F7" si="1">E4*B4</f>
        <v>6</v>
      </c>
      <c r="G4" s="3">
        <v>3</v>
      </c>
      <c r="H4" s="3">
        <f t="shared" ref="H4:H7" si="2">G4*B4</f>
        <v>6</v>
      </c>
      <c r="I4" s="3">
        <v>3</v>
      </c>
      <c r="J4" s="3">
        <f t="shared" ref="J4:J7" si="3">I4*B4</f>
        <v>6</v>
      </c>
      <c r="K4" s="3">
        <v>4</v>
      </c>
      <c r="L4" s="3">
        <f t="shared" ref="L4:L7" si="4">K4*B4</f>
        <v>8</v>
      </c>
      <c r="O4" s="7"/>
      <c r="P4" s="7"/>
      <c r="Q4" s="7"/>
      <c r="R4" s="7"/>
      <c r="S4" s="7"/>
    </row>
    <row r="5" spans="1:19" x14ac:dyDescent="0.25">
      <c r="A5" s="3" t="s">
        <v>7</v>
      </c>
      <c r="B5" s="3">
        <v>4</v>
      </c>
      <c r="C5" s="3">
        <v>1</v>
      </c>
      <c r="D5" s="3">
        <f t="shared" si="0"/>
        <v>4</v>
      </c>
      <c r="E5" s="3">
        <v>4</v>
      </c>
      <c r="F5" s="3">
        <f t="shared" si="1"/>
        <v>16</v>
      </c>
      <c r="G5" s="3">
        <v>4</v>
      </c>
      <c r="H5" s="3">
        <f t="shared" si="2"/>
        <v>16</v>
      </c>
      <c r="I5" s="3">
        <v>4</v>
      </c>
      <c r="J5" s="3">
        <f t="shared" si="3"/>
        <v>16</v>
      </c>
      <c r="K5" s="3">
        <v>3</v>
      </c>
      <c r="L5" s="3">
        <f t="shared" si="4"/>
        <v>12</v>
      </c>
    </row>
    <row r="6" spans="1:19" x14ac:dyDescent="0.25">
      <c r="A6" s="3" t="s">
        <v>8</v>
      </c>
      <c r="B6" s="3">
        <v>3</v>
      </c>
      <c r="C6" s="3">
        <v>3</v>
      </c>
      <c r="D6" s="3">
        <f t="shared" si="0"/>
        <v>9</v>
      </c>
      <c r="E6" s="3">
        <v>3</v>
      </c>
      <c r="F6" s="3">
        <f t="shared" si="1"/>
        <v>9</v>
      </c>
      <c r="G6" s="3">
        <v>3</v>
      </c>
      <c r="H6" s="3">
        <f t="shared" si="2"/>
        <v>9</v>
      </c>
      <c r="I6" s="3">
        <v>3</v>
      </c>
      <c r="J6" s="3">
        <f t="shared" si="3"/>
        <v>9</v>
      </c>
      <c r="K6" s="3">
        <v>3</v>
      </c>
      <c r="L6" s="3">
        <f t="shared" si="4"/>
        <v>9</v>
      </c>
    </row>
    <row r="7" spans="1:19" x14ac:dyDescent="0.25">
      <c r="A7" s="3" t="s">
        <v>9</v>
      </c>
      <c r="B7" s="3">
        <v>3</v>
      </c>
      <c r="C7" s="3">
        <v>2</v>
      </c>
      <c r="D7" s="3">
        <f t="shared" si="0"/>
        <v>6</v>
      </c>
      <c r="E7" s="3">
        <v>4</v>
      </c>
      <c r="F7" s="3">
        <f t="shared" si="1"/>
        <v>12</v>
      </c>
      <c r="G7" s="3">
        <v>3</v>
      </c>
      <c r="H7" s="3">
        <f t="shared" si="2"/>
        <v>9</v>
      </c>
      <c r="I7" s="3">
        <v>3</v>
      </c>
      <c r="J7" s="3">
        <f t="shared" si="3"/>
        <v>9</v>
      </c>
      <c r="K7" s="3">
        <v>5</v>
      </c>
      <c r="L7" s="3">
        <f t="shared" si="4"/>
        <v>15</v>
      </c>
    </row>
    <row r="8" spans="1:19" x14ac:dyDescent="0.25">
      <c r="A8" s="3" t="s">
        <v>10</v>
      </c>
      <c r="B8" s="1"/>
      <c r="C8" s="1"/>
      <c r="D8" s="4">
        <f>D3+D4+D5+D6+D7</f>
        <v>30</v>
      </c>
      <c r="E8" s="1"/>
      <c r="F8" s="4">
        <f>F3+F4+F5+F6+F7</f>
        <v>47</v>
      </c>
      <c r="G8" s="1"/>
      <c r="H8" s="4">
        <f>H3+H4+H5+H6+H7</f>
        <v>43</v>
      </c>
      <c r="I8" s="1"/>
      <c r="J8" s="4">
        <f>J3+J4+J5+J6+J7</f>
        <v>43</v>
      </c>
      <c r="K8" s="1"/>
      <c r="L8" s="4">
        <f>L3+L4+L5+L6+L7</f>
        <v>48</v>
      </c>
    </row>
    <row r="9" spans="1:19" x14ac:dyDescent="0.25">
      <c r="A9" s="3" t="s">
        <v>11</v>
      </c>
      <c r="B9" s="1"/>
      <c r="C9" s="1"/>
      <c r="D9" s="5">
        <f>D8/65</f>
        <v>0.46153846153846156</v>
      </c>
      <c r="E9" s="1"/>
      <c r="F9" s="5">
        <f>F8/65</f>
        <v>0.72307692307692306</v>
      </c>
      <c r="G9" s="1"/>
      <c r="H9" s="5">
        <f>H8/65</f>
        <v>0.66153846153846152</v>
      </c>
      <c r="I9" s="1"/>
      <c r="J9" s="5">
        <f>J8/65</f>
        <v>0.66153846153846152</v>
      </c>
      <c r="K9" s="1"/>
      <c r="L9" s="5">
        <f>L8/65</f>
        <v>0.7384615384615385</v>
      </c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9" x14ac:dyDescent="0.25">
      <c r="A11" s="6"/>
      <c r="B11" s="6"/>
      <c r="C11" s="6" t="s">
        <v>25</v>
      </c>
      <c r="D11" s="6"/>
      <c r="E11" s="6" t="s">
        <v>22</v>
      </c>
      <c r="F11" s="6"/>
      <c r="G11" s="6" t="s">
        <v>23</v>
      </c>
      <c r="H11" s="6"/>
      <c r="I11" s="6" t="s">
        <v>24</v>
      </c>
      <c r="J11" s="6"/>
      <c r="K11" s="6" t="s">
        <v>0</v>
      </c>
      <c r="L11" s="6"/>
    </row>
    <row r="12" spans="1:19" x14ac:dyDescent="0.25">
      <c r="A12" s="1" t="s">
        <v>12</v>
      </c>
      <c r="B12" s="1" t="s">
        <v>2</v>
      </c>
      <c r="C12" s="1" t="s">
        <v>3</v>
      </c>
      <c r="D12" s="1" t="s">
        <v>4</v>
      </c>
      <c r="E12" s="1" t="s">
        <v>3</v>
      </c>
      <c r="F12" s="1" t="s">
        <v>4</v>
      </c>
      <c r="G12" s="1" t="s">
        <v>3</v>
      </c>
      <c r="H12" s="1" t="s">
        <v>4</v>
      </c>
      <c r="I12" s="1" t="s">
        <v>3</v>
      </c>
      <c r="J12" s="1" t="s">
        <v>4</v>
      </c>
      <c r="K12" s="1" t="s">
        <v>3</v>
      </c>
      <c r="L12" s="1" t="s">
        <v>4</v>
      </c>
    </row>
    <row r="13" spans="1:19" x14ac:dyDescent="0.25">
      <c r="A13" s="1" t="s">
        <v>13</v>
      </c>
      <c r="B13" s="1">
        <v>4</v>
      </c>
      <c r="C13" s="1">
        <v>3</v>
      </c>
      <c r="D13" s="1">
        <f>C13*B13</f>
        <v>12</v>
      </c>
      <c r="E13" s="1">
        <v>3</v>
      </c>
      <c r="F13" s="1">
        <f>E13*B13</f>
        <v>12</v>
      </c>
      <c r="G13" s="1">
        <v>3</v>
      </c>
      <c r="H13" s="1">
        <f>G13*B13</f>
        <v>12</v>
      </c>
      <c r="I13" s="1">
        <v>4</v>
      </c>
      <c r="J13" s="1">
        <f>I13*B13</f>
        <v>16</v>
      </c>
      <c r="K13" s="1">
        <v>4</v>
      </c>
      <c r="L13" s="1">
        <f>K13*B13</f>
        <v>16</v>
      </c>
    </row>
    <row r="14" spans="1:19" x14ac:dyDescent="0.25">
      <c r="A14" s="1" t="s">
        <v>14</v>
      </c>
      <c r="B14" s="1">
        <v>3</v>
      </c>
      <c r="C14" s="1">
        <v>3</v>
      </c>
      <c r="D14" s="1">
        <f t="shared" ref="D14:D20" si="5">C14*B14</f>
        <v>9</v>
      </c>
      <c r="E14" s="1">
        <v>3</v>
      </c>
      <c r="F14" s="1">
        <f t="shared" ref="F14:F20" si="6">E14*B14</f>
        <v>9</v>
      </c>
      <c r="G14" s="1">
        <v>2</v>
      </c>
      <c r="H14" s="1">
        <f t="shared" ref="H14:H20" si="7">G14*B14</f>
        <v>6</v>
      </c>
      <c r="I14" s="1">
        <v>4</v>
      </c>
      <c r="J14" s="1">
        <f t="shared" ref="J14:J20" si="8">I14*B14</f>
        <v>12</v>
      </c>
      <c r="K14" s="1">
        <v>4</v>
      </c>
      <c r="L14" s="1">
        <f t="shared" ref="L14:L20" si="9">K14*B14</f>
        <v>12</v>
      </c>
    </row>
    <row r="15" spans="1:19" x14ac:dyDescent="0.25">
      <c r="A15" s="1" t="s">
        <v>15</v>
      </c>
      <c r="B15" s="1">
        <v>4</v>
      </c>
      <c r="C15" s="1">
        <v>3</v>
      </c>
      <c r="D15" s="1">
        <f t="shared" si="5"/>
        <v>12</v>
      </c>
      <c r="E15" s="1">
        <v>4</v>
      </c>
      <c r="F15" s="1">
        <f t="shared" si="6"/>
        <v>16</v>
      </c>
      <c r="G15" s="1">
        <v>1</v>
      </c>
      <c r="H15" s="1">
        <f t="shared" si="7"/>
        <v>4</v>
      </c>
      <c r="I15" s="1">
        <v>5</v>
      </c>
      <c r="J15" s="1">
        <f t="shared" si="8"/>
        <v>20</v>
      </c>
      <c r="K15" s="1">
        <v>5</v>
      </c>
      <c r="L15" s="1">
        <f t="shared" si="9"/>
        <v>20</v>
      </c>
    </row>
    <row r="16" spans="1:19" x14ac:dyDescent="0.25">
      <c r="A16" s="1" t="s">
        <v>16</v>
      </c>
      <c r="B16" s="1">
        <v>3</v>
      </c>
      <c r="C16" s="1">
        <v>2</v>
      </c>
      <c r="D16" s="1">
        <f t="shared" si="5"/>
        <v>6</v>
      </c>
      <c r="E16" s="1">
        <v>3</v>
      </c>
      <c r="F16" s="1">
        <f t="shared" si="6"/>
        <v>9</v>
      </c>
      <c r="G16" s="1">
        <v>2</v>
      </c>
      <c r="H16" s="1">
        <f t="shared" si="7"/>
        <v>6</v>
      </c>
      <c r="I16" s="1">
        <v>3</v>
      </c>
      <c r="J16" s="1">
        <f t="shared" si="8"/>
        <v>9</v>
      </c>
      <c r="K16" s="1">
        <v>3</v>
      </c>
      <c r="L16" s="1">
        <f t="shared" si="9"/>
        <v>9</v>
      </c>
    </row>
    <row r="17" spans="1:12" x14ac:dyDescent="0.25">
      <c r="A17" s="1" t="s">
        <v>17</v>
      </c>
      <c r="B17" s="1">
        <v>2</v>
      </c>
      <c r="C17" s="1">
        <v>3</v>
      </c>
      <c r="D17" s="1">
        <f t="shared" si="5"/>
        <v>6</v>
      </c>
      <c r="E17" s="1">
        <v>3</v>
      </c>
      <c r="F17" s="1">
        <f t="shared" si="6"/>
        <v>6</v>
      </c>
      <c r="G17" s="1">
        <v>3</v>
      </c>
      <c r="H17" s="1">
        <f t="shared" si="7"/>
        <v>6</v>
      </c>
      <c r="I17" s="1">
        <v>3</v>
      </c>
      <c r="J17" s="1">
        <f t="shared" si="8"/>
        <v>6</v>
      </c>
      <c r="K17" s="1">
        <v>3</v>
      </c>
      <c r="L17" s="1">
        <f t="shared" si="9"/>
        <v>6</v>
      </c>
    </row>
    <row r="18" spans="1:12" x14ac:dyDescent="0.25">
      <c r="A18" s="1" t="s">
        <v>18</v>
      </c>
      <c r="B18" s="1">
        <v>1</v>
      </c>
      <c r="C18" s="1">
        <v>4</v>
      </c>
      <c r="D18" s="1">
        <f t="shared" si="5"/>
        <v>4</v>
      </c>
      <c r="E18" s="1">
        <v>3</v>
      </c>
      <c r="F18" s="1">
        <f t="shared" si="6"/>
        <v>3</v>
      </c>
      <c r="G18" s="1">
        <v>3</v>
      </c>
      <c r="H18" s="1">
        <f t="shared" si="7"/>
        <v>3</v>
      </c>
      <c r="I18" s="1">
        <v>4</v>
      </c>
      <c r="J18" s="1">
        <f t="shared" si="8"/>
        <v>4</v>
      </c>
      <c r="K18" s="1">
        <v>4</v>
      </c>
      <c r="L18" s="1">
        <f t="shared" si="9"/>
        <v>4</v>
      </c>
    </row>
    <row r="19" spans="1:12" x14ac:dyDescent="0.25">
      <c r="A19" s="1" t="s">
        <v>19</v>
      </c>
      <c r="B19" s="1">
        <v>2</v>
      </c>
      <c r="C19" s="1">
        <v>4</v>
      </c>
      <c r="D19" s="1">
        <f t="shared" si="5"/>
        <v>8</v>
      </c>
      <c r="E19" s="1">
        <v>3</v>
      </c>
      <c r="F19" s="1">
        <f t="shared" si="6"/>
        <v>6</v>
      </c>
      <c r="G19" s="1">
        <v>3</v>
      </c>
      <c r="H19" s="1">
        <f t="shared" si="7"/>
        <v>6</v>
      </c>
      <c r="I19" s="1">
        <v>3</v>
      </c>
      <c r="J19" s="1">
        <f t="shared" si="8"/>
        <v>6</v>
      </c>
      <c r="K19" s="1">
        <v>3</v>
      </c>
      <c r="L19" s="1">
        <f t="shared" si="9"/>
        <v>6</v>
      </c>
    </row>
    <row r="20" spans="1:12" x14ac:dyDescent="0.25">
      <c r="A20" s="1" t="s">
        <v>32</v>
      </c>
      <c r="B20" s="1">
        <v>3</v>
      </c>
      <c r="C20" s="1">
        <v>3</v>
      </c>
      <c r="D20" s="1">
        <f t="shared" si="5"/>
        <v>9</v>
      </c>
      <c r="E20" s="1">
        <v>3</v>
      </c>
      <c r="F20" s="1">
        <f t="shared" si="6"/>
        <v>9</v>
      </c>
      <c r="G20" s="1">
        <v>3</v>
      </c>
      <c r="H20" s="1">
        <f t="shared" si="7"/>
        <v>9</v>
      </c>
      <c r="I20" s="1">
        <v>5</v>
      </c>
      <c r="J20" s="1">
        <f t="shared" si="8"/>
        <v>15</v>
      </c>
      <c r="K20" s="1">
        <v>5</v>
      </c>
      <c r="L20" s="1">
        <f t="shared" si="9"/>
        <v>15</v>
      </c>
    </row>
    <row r="21" spans="1:12" x14ac:dyDescent="0.25">
      <c r="A21" s="1" t="s">
        <v>10</v>
      </c>
      <c r="B21" s="1"/>
      <c r="C21" s="1"/>
      <c r="D21" s="4">
        <f>D13+D14+D15+D16+D17+D18+D19+D20</f>
        <v>66</v>
      </c>
      <c r="E21" s="1"/>
      <c r="F21" s="4">
        <f>F13+F14+F15+F16+F17+F18+F19+F20</f>
        <v>70</v>
      </c>
      <c r="G21" s="1"/>
      <c r="H21" s="4">
        <f>H13+H14+H15+H16+H17+H18+H19+H20</f>
        <v>52</v>
      </c>
      <c r="I21" s="1"/>
      <c r="J21" s="4">
        <f>J13+J14+J15+J16+J17+J18+J19+J20</f>
        <v>88</v>
      </c>
      <c r="K21" s="1"/>
      <c r="L21" s="4">
        <f>L13+L14+L15+L16+L17+L18+L19+L20</f>
        <v>88</v>
      </c>
    </row>
    <row r="22" spans="1:12" x14ac:dyDescent="0.25">
      <c r="A22" s="1" t="s">
        <v>20</v>
      </c>
      <c r="B22" s="1"/>
      <c r="C22" s="1"/>
      <c r="D22" s="5">
        <f>D21/110</f>
        <v>0.6</v>
      </c>
      <c r="E22" s="1"/>
      <c r="F22" s="5">
        <f>F21/110</f>
        <v>0.63636363636363635</v>
      </c>
      <c r="G22" s="1"/>
      <c r="H22" s="5">
        <f>H21/110</f>
        <v>0.47272727272727272</v>
      </c>
      <c r="I22" s="1"/>
      <c r="J22" s="5">
        <f>J21/110</f>
        <v>0.8</v>
      </c>
      <c r="K22" s="1"/>
      <c r="L22" s="5">
        <f>L21/110</f>
        <v>0.8</v>
      </c>
    </row>
    <row r="24" spans="1:12" x14ac:dyDescent="0.25">
      <c r="A24" s="1" t="s">
        <v>3</v>
      </c>
      <c r="B24" t="s">
        <v>31</v>
      </c>
    </row>
    <row r="25" spans="1:12" x14ac:dyDescent="0.25">
      <c r="A25">
        <v>1</v>
      </c>
      <c r="B25" t="s">
        <v>26</v>
      </c>
    </row>
    <row r="26" spans="1:12" x14ac:dyDescent="0.25">
      <c r="A26">
        <v>2</v>
      </c>
      <c r="B26" t="s">
        <v>27</v>
      </c>
    </row>
    <row r="27" spans="1:12" x14ac:dyDescent="0.25">
      <c r="A27">
        <v>3</v>
      </c>
      <c r="B27" t="s">
        <v>28</v>
      </c>
    </row>
    <row r="28" spans="1:12" x14ac:dyDescent="0.25">
      <c r="A28">
        <v>4</v>
      </c>
      <c r="B28" t="s">
        <v>29</v>
      </c>
    </row>
    <row r="29" spans="1:12" x14ac:dyDescent="0.25">
      <c r="A29">
        <v>5</v>
      </c>
      <c r="B29" t="s">
        <v>30</v>
      </c>
    </row>
    <row r="31" spans="1:12" x14ac:dyDescent="0.25">
      <c r="F31" t="s">
        <v>37</v>
      </c>
      <c r="G31" t="s">
        <v>38</v>
      </c>
    </row>
    <row r="32" spans="1:12" x14ac:dyDescent="0.25">
      <c r="E32" t="s">
        <v>33</v>
      </c>
      <c r="F32" s="7">
        <f>D9</f>
        <v>0.46153846153846156</v>
      </c>
      <c r="G32" s="7">
        <f>D22</f>
        <v>0.6</v>
      </c>
    </row>
    <row r="33" spans="5:7" x14ac:dyDescent="0.25">
      <c r="E33" t="s">
        <v>34</v>
      </c>
      <c r="F33" s="7">
        <f>F9</f>
        <v>0.72307692307692306</v>
      </c>
      <c r="G33" s="7">
        <f>F22</f>
        <v>0.63636363636363635</v>
      </c>
    </row>
    <row r="34" spans="5:7" x14ac:dyDescent="0.25">
      <c r="E34" t="s">
        <v>35</v>
      </c>
      <c r="F34" s="7">
        <f>H9</f>
        <v>0.66153846153846152</v>
      </c>
      <c r="G34" s="7">
        <f>H22</f>
        <v>0.47272727272727272</v>
      </c>
    </row>
    <row r="35" spans="5:7" x14ac:dyDescent="0.25">
      <c r="E35" t="s">
        <v>39</v>
      </c>
      <c r="F35" s="7">
        <f>J9</f>
        <v>0.66153846153846152</v>
      </c>
      <c r="G35" s="7">
        <f>J22</f>
        <v>0.8</v>
      </c>
    </row>
    <row r="36" spans="5:7" x14ac:dyDescent="0.25">
      <c r="E36" s="1" t="s">
        <v>36</v>
      </c>
      <c r="F36" s="7">
        <f>L9</f>
        <v>0.7384615384615385</v>
      </c>
      <c r="G36" s="5">
        <f>L22</f>
        <v>0.8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9" ma:contentTypeDescription="Create a new document." ma:contentTypeScope="" ma:versionID="76f0660c00307a9fc6b8f016be658328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47a6827155b2c9d8b55185a8ae1cad52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23b583-fc58-4aef-a739-6987dbfb3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e66e1-c1d4-4b45-94dc-9952581618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99D2BF-ACC1-409B-B7DD-DA519F20D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fe66e1-c1d4-4b45-94dc-995258161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016AB-9FC1-4B99-9A11-5091E809F0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BAD465-A2D2-475B-A618-780A14B055D6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71fe66e1-c1d4-4b45-94dc-995258161867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Sven Kerkhof</cp:lastModifiedBy>
  <cp:revision/>
  <dcterms:created xsi:type="dcterms:W3CDTF">2025-11-17T08:19:11Z</dcterms:created>
  <dcterms:modified xsi:type="dcterms:W3CDTF">2026-01-14T10:23:58Z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  <property fmtid="{D5CDD505-2E9C-101B-9397-08002B2CF9AE}" pid="3" name="MediaServiceImageTags">
    <vt:lpwstr/>
  </property>
</Properties>
</file>